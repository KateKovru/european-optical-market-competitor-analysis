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ate kovru\Desktop\European_Optical_Market_Analysis\03_Analysis\"/>
    </mc:Choice>
  </mc:AlternateContent>
  <xr:revisionPtr revIDLastSave="0" documentId="13_ncr:1_{9BF4B27A-A1DD-4189-B6F8-46DB86C8F435}" xr6:coauthVersionLast="47" xr6:coauthVersionMax="47" xr10:uidLastSave="{00000000-0000-0000-0000-000000000000}"/>
  <bookViews>
    <workbookView xWindow="-110" yWindow="-110" windowWidth="19420" windowHeight="11500" firstSheet="3" activeTab="4" xr2:uid="{00000000-000D-0000-FFFF-FFFF00000000}"/>
  </bookViews>
  <sheets>
    <sheet name="Dashboard" sheetId="1" r:id="rId1"/>
    <sheet name="Broader_Market_Context" sheetId="2" r:id="rId2"/>
    <sheet name="Germany_Market" sheetId="3" r:id="rId3"/>
    <sheet name="Competitor_Benchmark" sheetId="4" r:id="rId4"/>
    <sheet name="Product_Examples" sheetId="5" r:id="rId5"/>
    <sheet name="Trends" sheetId="6" r:id="rId6"/>
    <sheet name="Source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8" i="2" s="1"/>
  <c r="B9" i="2" s="1"/>
  <c r="B10" i="2" s="1"/>
  <c r="B11" i="2" s="1"/>
  <c r="B12" i="2" s="1"/>
  <c r="B13" i="2" s="1"/>
  <c r="B14" i="2" s="1"/>
  <c r="B15" i="2" s="1"/>
</calcChain>
</file>

<file path=xl/sharedStrings.xml><?xml version="1.0" encoding="utf-8"?>
<sst xmlns="http://schemas.openxmlformats.org/spreadsheetml/2006/main" count="342" uniqueCount="255">
  <si>
    <t>European Optical Market &amp; Competitor Analysis</t>
  </si>
  <si>
    <t>Portfolio case | Focus: European ophthalmic spectacle lenses | Data cut: September 2026</t>
  </si>
  <si>
    <t>EU population 65+ (2025)</t>
  </si>
  <si>
    <t>Key findings</t>
  </si>
  <si>
    <t>Analyst note</t>
  </si>
  <si>
    <t>Year</t>
  </si>
  <si>
    <t>Market size (USD bn)</t>
  </si>
  <si>
    <t>Status</t>
  </si>
  <si>
    <t>Assumption</t>
  </si>
  <si>
    <t>Value</t>
  </si>
  <si>
    <t>CAGR 2026-2035</t>
  </si>
  <si>
    <t>2025 source value</t>
  </si>
  <si>
    <t>Forecast</t>
  </si>
  <si>
    <t>2026 source value</t>
  </si>
  <si>
    <t>Forecast method: 2025 and 2026 are source values. From 2027 onward the model applies the published 4.6% CAGR to the previous year. This reproduces the published 2035 value (~USD 8.5bn) with rounding.</t>
  </si>
  <si>
    <t>Metric</t>
  </si>
  <si>
    <t>2025</t>
  </si>
  <si>
    <t>Interpretation</t>
  </si>
  <si>
    <t>Complete spectacles sold (m)</t>
  </si>
  <si>
    <t>Spectacle lenses sold (m)</t>
  </si>
  <si>
    <t>Top 10 companies' revenue share</t>
  </si>
  <si>
    <t>Online revenue share (all product areas)</t>
  </si>
  <si>
    <t>Competitor Benchmark – Public Product &amp; Channel Evidence</t>
  </si>
  <si>
    <t>Company</t>
  </si>
  <si>
    <t>Myopia</t>
  </si>
  <si>
    <t>Coating</t>
  </si>
  <si>
    <t>Core differentiation</t>
  </si>
  <si>
    <t>Analyst comment</t>
  </si>
  <si>
    <t>Source</t>
  </si>
  <si>
    <t>Rodenstock</t>
  </si>
  <si>
    <t>MyCon 2</t>
  </si>
  <si>
    <t>Solitaire LayR</t>
  </si>
  <si>
    <t>Biometric eye model + visual sensitivity; DNEye scanner</t>
  </si>
  <si>
    <t>https://www.rodenstock.com/bigvision</t>
  </si>
  <si>
    <t>EssilorLuxottica (Essilor)</t>
  </si>
  <si>
    <t>Varilux XR series</t>
  </si>
  <si>
    <t>Stellest</t>
  </si>
  <si>
    <t>AI-powered progressive design; broad lens + retail ecosystem</t>
  </si>
  <si>
    <t>https://www.essilor.com/us-en/products/varilux/varilux-xr-series/</t>
  </si>
  <si>
    <t>ZEISS Vision Care</t>
  </si>
  <si>
    <t>DuraVision Plus Gold UV</t>
  </si>
  <si>
    <t>Lifestyle- and anatomy-based individualisation; strong optics brand</t>
  </si>
  <si>
    <t>HOYA Vision Care</t>
  </si>
  <si>
    <t>MiYOSMART</t>
  </si>
  <si>
    <t>Hi-Vision Meiryo</t>
  </si>
  <si>
    <t>Personalised progressives + Visual Sensory Intelligence</t>
  </si>
  <si>
    <t>https://www.hoyavision.com/vision-products/progressive-lenses/</t>
  </si>
  <si>
    <t>Selected Product Evidence</t>
  </si>
  <si>
    <t>Category</t>
  </si>
  <si>
    <t>Product</t>
  </si>
  <si>
    <t>Evidence / feature</t>
  </si>
  <si>
    <t>Strategic role</t>
  </si>
  <si>
    <t>Progressive / personalized</t>
  </si>
  <si>
    <t>B.I.G. EXACT Sensitive</t>
  </si>
  <si>
    <t>Biometry + visual sensitivity; &gt;7,000 biometric data points and 80+ parameters</t>
  </si>
  <si>
    <t>Premium individualisation</t>
  </si>
  <si>
    <t>Myopia management</t>
  </si>
  <si>
    <t>Children / myopia control</t>
  </si>
  <si>
    <t>UV, scratch resistance, antistatic, AR, cleanability; optional blue-light layer</t>
  </si>
  <si>
    <t>Premium coating platform</t>
  </si>
  <si>
    <t>Essilor</t>
  </si>
  <si>
    <t>AI-powered design based on eye movement behavior</t>
  </si>
  <si>
    <t>Premium progressives</t>
  </si>
  <si>
    <t>Spectacle lens designed to slow childhood myopia progression</t>
  </si>
  <si>
    <t>Crizal Sapphire HR</t>
  </si>
  <si>
    <t>360° reflection reduction, durability, cleanability, UV protection</t>
  </si>
  <si>
    <t>Premium coating</t>
  </si>
  <si>
    <t>ZEISS</t>
  </si>
  <si>
    <t>CleanGuard, scratch resistance, clarity and premium gold reflex</t>
  </si>
  <si>
    <t>HOYA</t>
  </si>
  <si>
    <t>Hoyalux iD MySense</t>
  </si>
  <si>
    <t>Clarity, scratch resistance, UV protection and long-lasting cleanability</t>
  </si>
  <si>
    <t>Trend</t>
  </si>
  <si>
    <t>Evidence</t>
  </si>
  <si>
    <t>Why it matters</t>
  </si>
  <si>
    <t>Implication for Rodenstock</t>
  </si>
  <si>
    <t>Ageing / presbyopia</t>
  </si>
  <si>
    <t>22% of EU population was 65+ in 2025</t>
  </si>
  <si>
    <t>High</t>
  </si>
  <si>
    <t>Medium-High</t>
  </si>
  <si>
    <t>Differentiate biometric depth and prove wearer outcomes instead of relying only on the word 'personalized'</t>
  </si>
  <si>
    <t>Premium coatings</t>
  </si>
  <si>
    <t>LayR, Crizal, DuraVision Gold and Meiryo all emphasize clarity, cleanability and durability</t>
  </si>
  <si>
    <t>Retail concentration</t>
  </si>
  <si>
    <t>Top 10 German optical firms = 55% of sector revenue in 2025</t>
  </si>
  <si>
    <t>Online remains secondary in Germany</t>
  </si>
  <si>
    <t>Online = ~5% of sector revenue in 2025</t>
  </si>
  <si>
    <t>Sources &amp; Research Notes</t>
  </si>
  <si>
    <t>Topic</t>
  </si>
  <si>
    <t>What was used</t>
  </si>
  <si>
    <t>URL</t>
  </si>
  <si>
    <t>Global Market Insights - Europe Ophthalmic Lenses Market</t>
  </si>
  <si>
    <t>https://www.gminsights.com/industry-analysis/europe-ophthalmic-lenses-market</t>
  </si>
  <si>
    <t>Demographics</t>
  </si>
  <si>
    <t>Eurostat - Demography of Europe 2026</t>
  </si>
  <si>
    <t>On 1 Jan 2025, 99m people in the EU were aged 65+, equal to 22% of population.</t>
  </si>
  <si>
    <t>https://ec.europa.eu/eurostat/web/interactive-publications/demography-2026</t>
  </si>
  <si>
    <t>Germany market</t>
  </si>
  <si>
    <t>ZVA Branchenbericht 2025/2026</t>
  </si>
  <si>
    <t>German optical sector &gt;EUR 7bn in 2025; almost 12m complete spectacles; 10,700 stores; top 10 firms = 55% of sales.</t>
  </si>
  <si>
    <t>https://www.zva.de/news/zva-branchenbericht-2025-2/</t>
  </si>
  <si>
    <t>Germany detailed data</t>
  </si>
  <si>
    <t>ZVA Branchenbericht 2025/2026 PDF</t>
  </si>
  <si>
    <t>https://www.zva.de/wp-content/uploads/ZVA-Branchenbericht-2025.pdf</t>
  </si>
  <si>
    <t>https://www.essilorluxottica.com/en/2025-annual-report/</t>
  </si>
  <si>
    <t>Essilor scale</t>
  </si>
  <si>
    <t>EssilorLuxottica FY2025 Results</t>
  </si>
  <si>
    <t>HOYA scale</t>
  </si>
  <si>
    <t>HOYA Integrated Report 2026 - Life Care</t>
  </si>
  <si>
    <t>Eyeglass lenses achieved high-single-digit FY25 growth; HOYA states it holds the second-largest global market share.</t>
  </si>
  <si>
    <t>https://www.hoya.com/ir/2026/en/review/lifecare.html</t>
  </si>
  <si>
    <t>Rodenstock B.I.G. VISION</t>
  </si>
  <si>
    <t>B.I.G. EXACT Sensitive uses precise biometric data and visual sensitivity; B.I.G. NORM uses an AI-based biometric model.</t>
  </si>
  <si>
    <t>Rodenstock Children's Lenses</t>
  </si>
  <si>
    <t>MyCon 2 myopia-control lenses and HAPD technology.</t>
  </si>
  <si>
    <t>https://www.rodenstock.com/lenses/childrens-lenses</t>
  </si>
  <si>
    <t>Rodenstock Lenses / LayR</t>
  </si>
  <si>
    <t>Solitaire LayR premium coating platform.</t>
  </si>
  <si>
    <t>https://www.rodenstock.com/lenses</t>
  </si>
  <si>
    <t>Varilux XR Series</t>
  </si>
  <si>
    <t>AI-powered progressive lens designed around eye movement behavior.</t>
  </si>
  <si>
    <t>Myopia management lens for children.</t>
  </si>
  <si>
    <t>https://www.essilor.com/us-en/products/stellest/</t>
  </si>
  <si>
    <t>Premium coating: reflection reduction, durability, cleanability and UV protection.</t>
  </si>
  <si>
    <t>https://www.essilor.com/in-en/products/crizal/crizal-sapphire-hr/</t>
  </si>
  <si>
    <t>ZEISS DuraVision Plus Gold UV</t>
  </si>
  <si>
    <t>Premium coating with CleanGuard, scratch resistance and improved clarity.</t>
  </si>
  <si>
    <t>https://www.zeiss.com/vision-care/en/eye-care-professionals/lenses/coatings-technologies/duravision-gold-uv.html</t>
  </si>
  <si>
    <t>HOYA Progressive Lenses</t>
  </si>
  <si>
    <t>Hoyalux iD MySense/MySelf personalized progressive portfolio.</t>
  </si>
  <si>
    <t>HOYA MiYOSMART</t>
  </si>
  <si>
    <t>Myopia management lens platform.</t>
  </si>
  <si>
    <t>https://www.hoyavision.com/de/produkte/miyosmart/</t>
  </si>
  <si>
    <t>HOYA Hi-Vision Meiryo</t>
  </si>
  <si>
    <t>Premium coating positioned around clarity, durability and UV protection.</t>
  </si>
  <si>
    <t>https://www.hoyavision.com/uk/vision-products/coatings/hi-vision-meiryo/</t>
  </si>
  <si>
    <t>Myopia prevalence</t>
  </si>
  <si>
    <t>2025 European myopia meta-analysis (PubMed)</t>
  </si>
  <si>
    <t>https://pubmed.ncbi.nlm.nih.gov/41420781/</t>
  </si>
  <si>
    <t>Top 10 revenue share — Germany</t>
  </si>
  <si>
    <t>German optical sector revenue (2025)</t>
  </si>
  <si>
    <t>&gt;€7.0 bn</t>
  </si>
  <si>
    <t>Complete spectacles sold (2025)</t>
  </si>
  <si>
    <t>~12.0 m</t>
  </si>
  <si>
    <t>Broader European Ophthalmic Lens Market* — External Forecast</t>
  </si>
  <si>
    <t>*Scope note: The underlying GMI market definition includes spectacle lenses, contact lenses and intraocular lenses. This forecast is therefore used only as broader ophthalmic-market context and not as an estimate of the European spectacle-lens market.</t>
  </si>
  <si>
    <t>The German optical market remains stable, but unit growth is limited. This suggests that value growth and premiumization may be more important than pure volume growth.</t>
  </si>
  <si>
    <t>Population ageing supports the relevance of presbyopia and progressive-lens solutions, while myopia management is developing into a distinct competitive product category.</t>
  </si>
  <si>
    <t>Rodenstock stands out through its biometric positioning, while some larger competitors — particularly EssilorLuxottica — benefit from broader channel reach and retail ecosystems.</t>
  </si>
  <si>
    <t>Optical retail locations</t>
  </si>
  <si>
    <t>Germany Optical Market Development (2022–2025)</t>
  </si>
  <si>
    <t>Industry revenue (€ bn)</t>
  </si>
  <si>
    <t>Germany provides a useful example of a mature European optical market. Between 2022 and 2025, sector revenue increased from EUR 6.69 bn to EUR 7.03 bn, while sales of complete spectacles declined from 12.52 m to 11.77 m and spectacle-lens sales fell from 38.73 m to 36.56 m. At the same time, the number of optical retail locations decreased from 11,100 to 10,700. This suggests that market value is developing more positively than unit volumes, increasing the importance of product mix, premiumization and differentiation.</t>
  </si>
  <si>
    <t>2022</t>
  </si>
  <si>
    <t>2023</t>
  </si>
  <si>
    <t>2024</t>
  </si>
  <si>
    <t>Complete spectacles (m)</t>
  </si>
  <si>
    <t>Spectacle lenses (m)</t>
  </si>
  <si>
    <t xml:space="preserve">B.I.G. EXACT Sensitive </t>
  </si>
  <si>
    <t xml:space="preserve">Crizal Sapphire HR </t>
  </si>
  <si>
    <t>ZEISS Progressive ClearMind Individual 3</t>
  </si>
  <si>
    <t>ZEISS MyoCare</t>
  </si>
  <si>
    <t>Progressive / personalization technology</t>
  </si>
  <si>
    <t>Personalization approach</t>
  </si>
  <si>
    <t>Biometric individualisation</t>
  </si>
  <si>
    <t>AI-supported progressive design</t>
  </si>
  <si>
    <t>Anatomy + behaviour-based individualisation</t>
  </si>
  <si>
    <t>Visual Sensory Intelligence</t>
  </si>
  <si>
    <t>Channel observation</t>
  </si>
  <si>
    <t>Highly vertically integrated: large wholesale network plus ~18,000 proprietary retail stores and e-commerce platforms.</t>
  </si>
  <si>
    <t>Broad global partner network with branded ZEISS Vision Centers operated by independent eye-care professionals.</t>
  </si>
  <si>
    <t>B2B-focused model supported by a large international laboratory network and eye-care-provider relationships.</t>
  </si>
  <si>
    <t>Primarily B2B through partner opticians, sales offices and distribution partners in 85+ countries.</t>
  </si>
  <si>
    <t>Biometric individualisation is the clearest point of differentiation. Distribution is primarily partner-optician-led, with less direct retail integration than EssilorLuxottica.</t>
  </si>
  <si>
    <t>Combines a broad lens portfolio with a highly vertically integrated distribution model spanning wholesale, proprietary retail and e-commerce.</t>
  </si>
  <si>
    <t>Premium optics positioning combines individualized lens design with strong coating technology and a broad professional partner network.</t>
  </si>
  <si>
    <t>Strong positioning in personalized progressive lenses and pediatric myopia management, supported by an international lab and eye-care-professional network.</t>
  </si>
  <si>
    <t>ID</t>
  </si>
  <si>
    <t>R1</t>
  </si>
  <si>
    <t>R2</t>
  </si>
  <si>
    <t>R3</t>
  </si>
  <si>
    <t>R4</t>
  </si>
  <si>
    <t>R5</t>
  </si>
  <si>
    <t>R6</t>
  </si>
  <si>
    <t>R7</t>
  </si>
  <si>
    <t>R8</t>
  </si>
  <si>
    <t>R9</t>
  </si>
  <si>
    <t>R10</t>
  </si>
  <si>
    <t>R11</t>
  </si>
  <si>
    <t>R12</t>
  </si>
  <si>
    <t>R13</t>
  </si>
  <si>
    <t>R14</t>
  </si>
  <si>
    <t>R15</t>
  </si>
  <si>
    <t>R16</t>
  </si>
  <si>
    <t>R17</t>
  </si>
  <si>
    <t>R18</t>
  </si>
  <si>
    <t>R19</t>
  </si>
  <si>
    <t>NeurOptix technology; customization based on visual behaviour, facial anatomy and frame parameters</t>
  </si>
  <si>
    <t>Premium personalized progressives</t>
  </si>
  <si>
    <t>C.A.R.E. microstructures; central clear zone + myopic defocus treatment zone</t>
  </si>
  <si>
    <t>Biometric personalization</t>
  </si>
  <si>
    <t>Visual Sensory Intelligence + gaze behaviour, posture and individual vision profile</t>
  </si>
  <si>
    <t>Specialized spectacle lens for childhood myopia management; established international myopia-control platform</t>
  </si>
  <si>
    <t>Supports long-term relevance of presbyopia correction and progressive lenses</t>
  </si>
  <si>
    <t>European myopia prevalence is substantial; dedicated pediatric solutions include Stellest, MiYOSMART, MyoCare and MyCon 2.</t>
  </si>
  <si>
    <t>Pediatric myopia management has developed into a distinct competitive product category.</t>
  </si>
  <si>
    <t>Strengthen clinical evidence, optician education and communication around MyCon 2</t>
  </si>
  <si>
    <t>Personalization / data-driven design</t>
  </si>
  <si>
    <t>Rodenstock B.I.G. EXACT Sensitive, Essilor Varilux XR, ZEISS ClearMind and HOYA MySense all use individual biometric, behavioural or wearer-specific inputs.</t>
  </si>
  <si>
    <t>Personalization is a common differentiation theme among the major competitors reviewed.</t>
  </si>
  <si>
    <t>Premium coatings provide visible consumer benefits and another layer of product differentiation.</t>
  </si>
  <si>
    <t>Bundle lens-design and coating benefits into clear consumer propositions.</t>
  </si>
  <si>
    <t>Higher market concentration increases the strategic importance of key-account management, while independent opticians remain relevant for consultation-intensive premium products.</t>
  </si>
  <si>
    <t>Adapt B2B propositions to large accounts and independent premium opticians.</t>
  </si>
  <si>
    <t>Consultation, fitting and professional expertise remain central to the customer journey.</t>
  </si>
  <si>
    <t>Use digital tools to complement the in-store journey rather than assuming pure e-commerce replacement.</t>
  </si>
  <si>
    <t>Evidence strength</t>
  </si>
  <si>
    <t>Rodenstock today</t>
  </si>
  <si>
    <t>Strong progressive portfolio</t>
  </si>
  <si>
    <t>Demographics support long-term category relevance</t>
  </si>
  <si>
    <t>Gap / opportunity</t>
  </si>
  <si>
    <t>Expand premium progressive value through comfort and adaptation benefits</t>
  </si>
  <si>
    <t>Strong competing platforms from Essilor, HOYA and ZEISS</t>
  </si>
  <si>
    <t>B.I.G. EXACT + biometric positioning</t>
  </si>
  <si>
    <t>Partner-optician model</t>
  </si>
  <si>
    <t>Strong professional/optician journey</t>
  </si>
  <si>
    <t>Personalization becoming common competitor language</t>
  </si>
  <si>
    <t>All major competitors offer premium coatings</t>
  </si>
  <si>
    <t>Large accounts increasingly important</t>
  </si>
  <si>
    <t>Digital does not replace consultation but can support it</t>
  </si>
  <si>
    <t>Broader market context</t>
  </si>
  <si>
    <t>2025: USD 5.4bn; 2026: USD 5.7bn; 2035: USD 8.5bn; CAGR 4.6%. Source definition includes spectacle lenses, contact lenses and IOLs; used only as broader ophthalmic-market context, not as spectacle-lens TAM.</t>
  </si>
  <si>
    <t>2025: 36.56m spectacle lenses; 11.77m complete spectacles; industry revenue EUR 7.025bn. 2022–2025 revenue, complete spectacles, spectacle lenses and optical retail locations.</t>
  </si>
  <si>
    <t>300,000+ optical partners, ~18,000 physical stores, 71 online platforms; integrated wholesale + DTC model.</t>
  </si>
  <si>
    <t>Individual 3 adapts to wearer anatomy, frame choice and specific visual needs.</t>
  </si>
  <si>
    <t>Pediatric myopia-management lenses; C.A.R.E. microstructures, central clear zone and myopic-defocus treatment zone.</t>
  </si>
  <si>
    <t>Pooled European myopia prevalence ~24.9%; high heterogeneity. Used as prevalence context only, not as an estimate of the pediatric myopia-management market.</t>
  </si>
  <si>
    <t>https://www.zeiss.de/vision-care/fuer-augenoptiker/brillenglaeser/brillenglaeser-fuer-jeden-bedarf/das-neue-brillenglasdesign-um-die-fortschreitende-kurzsichtigkeit-myopie-bei-kindern-einzudaemmen.html</t>
  </si>
  <si>
    <t>https://www.zeiss.com/vision-care/en/need-new-lenses/clearmind-progressive-lenses.html</t>
  </si>
  <si>
    <t>The competitor benchmark compares publicly visible product and channel evidence. It is intended to identify differences in positioning rather than rank companies or estimate market share.</t>
  </si>
  <si>
    <t>Competitive differentiation is converging around personalization, data-driven design and premium coatings.</t>
  </si>
  <si>
    <t>In Germany, retail consolidation is visible: the top 10 optical companies account for 55% of sector revenue, while online sales account for only ~5% of sector revenue.</t>
  </si>
  <si>
    <t>Published estimate</t>
  </si>
  <si>
    <t>Indicator</t>
  </si>
  <si>
    <t>R7, R8, R9</t>
  </si>
  <si>
    <t>R10, R11, R12</t>
  </si>
  <si>
    <t>R13, R14, R15</t>
  </si>
  <si>
    <t>R16, R17, R18</t>
  </si>
  <si>
    <t>Source ID</t>
  </si>
  <si>
    <t>HAPD technology + four individual wearing parameters</t>
  </si>
  <si>
    <t>Market Trends, Rodenstock Position &amp; Implications</t>
  </si>
  <si>
    <t>R8, R11, R14, R17, R19</t>
  </si>
  <si>
    <t>R7, R10, R13, R16</t>
  </si>
  <si>
    <t>R9, R12, R15, R18</t>
  </si>
  <si>
    <t>R3, 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</si>
</sst>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2">
    <font>
      <sz val="11"/>
      <name val="Carlito"/>
    </font>
    <font>
      <b/>
      <sz val="18"/>
      <color rgb="FFFFFFFF"/>
      <name val="Carlito"/>
    </font>
    <font>
      <i/>
      <sz val="11"/>
      <color rgb="FF4B5563"/>
      <name val="Carlito"/>
    </font>
    <font>
      <b/>
      <sz val="11"/>
      <color rgb="FF17324D"/>
      <name val="Carlito"/>
    </font>
    <font>
      <b/>
      <sz val="18"/>
      <color rgb="FF17324D"/>
      <name val="Carlito"/>
    </font>
    <font>
      <b/>
      <sz val="10"/>
      <color rgb="FFFFFFFF"/>
      <name val="Carlito"/>
    </font>
    <font>
      <sz val="11"/>
      <name val="Carlito"/>
    </font>
    <font>
      <u/>
      <sz val="11"/>
      <color theme="10"/>
      <name val="Carlito"/>
    </font>
    <font>
      <b/>
      <sz val="11"/>
      <name val="Carlito"/>
    </font>
    <font>
      <b/>
      <sz val="10"/>
      <color theme="0"/>
      <name val="Carlito"/>
    </font>
    <font>
      <b/>
      <sz val="11"/>
      <color theme="0"/>
      <name val="Carlito"/>
    </font>
    <font>
      <sz val="8"/>
      <name val="Carlito"/>
    </font>
  </fonts>
  <fills count="7">
    <fill>
      <patternFill patternType="none"/>
    </fill>
    <fill>
      <patternFill patternType="gray125"/>
    </fill>
    <fill>
      <patternFill patternType="solid">
        <fgColor rgb="FF17324D"/>
      </patternFill>
    </fill>
    <fill>
      <patternFill patternType="solid">
        <fgColor rgb="FFEEF4F8"/>
      </patternFill>
    </fill>
    <fill>
      <patternFill patternType="solid">
        <fgColor rgb="FFF7F7F7"/>
      </patternFill>
    </fill>
    <fill>
      <patternFill patternType="solid">
        <fgColor theme="0"/>
        <bgColor indexed="64"/>
      </patternFill>
    </fill>
    <fill>
      <patternFill patternType="solid">
        <fgColor rgb="FF17324D"/>
        <bgColor indexed="64"/>
      </patternFill>
    </fill>
  </fills>
  <borders count="8">
    <border>
      <left/>
      <right/>
      <top/>
      <bottom/>
      <diagonal/>
    </border>
    <border>
      <left style="thin">
        <color theme="2"/>
      </left>
      <right style="thin">
        <color theme="2"/>
      </right>
      <top style="thin">
        <color theme="2"/>
      </top>
      <bottom style="thin">
        <color theme="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6" fillId="0" borderId="0"/>
    <xf numFmtId="0" fontId="7" fillId="0" borderId="0" applyNumberFormat="0" applyFill="0" applyBorder="0" applyAlignment="0" applyProtection="0"/>
  </cellStyleXfs>
  <cellXfs count="51">
    <xf numFmtId="0" fontId="0" fillId="0" borderId="0" xfId="0"/>
    <xf numFmtId="0" fontId="5" fillId="2" borderId="0" xfId="1" applyFont="1" applyFill="1" applyAlignment="1">
      <alignment horizontal="center" vertical="center" wrapText="1"/>
    </xf>
    <xf numFmtId="0" fontId="0" fillId="0" borderId="0" xfId="1" applyFont="1" applyAlignment="1">
      <alignment wrapText="1"/>
    </xf>
    <xf numFmtId="165" fontId="0" fillId="0" borderId="0" xfId="1" applyNumberFormat="1" applyFont="1"/>
    <xf numFmtId="2" fontId="0" fillId="0" borderId="0" xfId="1" applyNumberFormat="1" applyFont="1"/>
    <xf numFmtId="164" fontId="0" fillId="0" borderId="0" xfId="1" applyNumberFormat="1" applyFont="1"/>
    <xf numFmtId="9" fontId="0" fillId="0" borderId="0" xfId="1" applyNumberFormat="1" applyFont="1"/>
    <xf numFmtId="0" fontId="0" fillId="0" borderId="0" xfId="1" applyFont="1" applyAlignment="1">
      <alignment vertical="top" wrapText="1"/>
    </xf>
    <xf numFmtId="0" fontId="3" fillId="0" borderId="0" xfId="1" applyFont="1" applyAlignment="1">
      <alignment horizontal="center" vertical="center"/>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horizontal="right" vertical="center" wrapText="1"/>
    </xf>
    <xf numFmtId="0" fontId="8" fillId="0" borderId="0" xfId="0" applyFont="1" applyAlignment="1">
      <alignment horizontal="right" vertical="center" wrapText="1"/>
    </xf>
    <xf numFmtId="0" fontId="0" fillId="0" borderId="0" xfId="0" applyAlignment="1">
      <alignment vertical="center" wrapText="1"/>
    </xf>
    <xf numFmtId="2" fontId="0" fillId="0" borderId="0" xfId="0" applyNumberFormat="1" applyAlignment="1">
      <alignment horizontal="right" vertical="center" wrapText="1"/>
    </xf>
    <xf numFmtId="2" fontId="8" fillId="0" borderId="0" xfId="0" applyNumberFormat="1" applyFont="1" applyAlignment="1">
      <alignment horizontal="right" vertical="center" wrapText="1"/>
    </xf>
    <xf numFmtId="2" fontId="0" fillId="0" borderId="0" xfId="0" applyNumberFormat="1"/>
    <xf numFmtId="0" fontId="0" fillId="0" borderId="1" xfId="0" applyBorder="1"/>
    <xf numFmtId="0" fontId="9" fillId="5" borderId="1" xfId="1" applyFont="1" applyFill="1" applyBorder="1" applyAlignment="1">
      <alignment vertical="center" wrapText="1"/>
    </xf>
    <xf numFmtId="0" fontId="10" fillId="6" borderId="0" xfId="0" applyFont="1" applyFill="1" applyAlignment="1">
      <alignment horizontal="center" vertical="center" wrapText="1"/>
    </xf>
    <xf numFmtId="166" fontId="0" fillId="0" borderId="0" xfId="0" applyNumberFormat="1" applyAlignment="1">
      <alignment horizontal="right" vertical="center" wrapText="1"/>
    </xf>
    <xf numFmtId="1" fontId="0" fillId="0" borderId="0" xfId="0" applyNumberFormat="1" applyAlignment="1">
      <alignment horizontal="right" vertical="center" wrapText="1"/>
    </xf>
    <xf numFmtId="1" fontId="8" fillId="0" borderId="0" xfId="0" applyNumberFormat="1" applyFont="1" applyAlignment="1">
      <alignment horizontal="right" vertical="center" wrapText="1"/>
    </xf>
    <xf numFmtId="0" fontId="0" fillId="5" borderId="0" xfId="0" applyFill="1" applyAlignment="1">
      <alignment vertical="center" wrapText="1"/>
    </xf>
    <xf numFmtId="2" fontId="0" fillId="5" borderId="0" xfId="0" applyNumberFormat="1" applyFill="1" applyAlignment="1">
      <alignment horizontal="right" vertical="center" wrapText="1"/>
    </xf>
    <xf numFmtId="2" fontId="8" fillId="5" borderId="0" xfId="0" applyNumberFormat="1" applyFont="1" applyFill="1" applyAlignment="1">
      <alignment horizontal="right" vertical="center" wrapText="1"/>
    </xf>
    <xf numFmtId="0" fontId="2" fillId="5" borderId="1" xfId="1" applyFont="1" applyFill="1" applyBorder="1" applyAlignment="1">
      <alignment vertical="center" wrapText="1"/>
    </xf>
    <xf numFmtId="0" fontId="5" fillId="5" borderId="1" xfId="1" applyFont="1" applyFill="1" applyBorder="1" applyAlignment="1">
      <alignment vertical="center" wrapText="1"/>
    </xf>
    <xf numFmtId="0" fontId="0" fillId="0" borderId="1" xfId="0" applyBorder="1" applyAlignment="1">
      <alignment vertical="center" wrapText="1"/>
    </xf>
    <xf numFmtId="0" fontId="6" fillId="0" borderId="0" xfId="2" applyFont="1" applyAlignment="1">
      <alignment wrapText="1"/>
    </xf>
    <xf numFmtId="0" fontId="6" fillId="5" borderId="0" xfId="2" applyFont="1" applyFill="1" applyAlignment="1">
      <alignment wrapText="1"/>
    </xf>
    <xf numFmtId="0" fontId="5" fillId="2" borderId="0" xfId="1" applyFont="1" applyFill="1" applyAlignment="1">
      <alignment horizontal="right" vertical="center" wrapText="1"/>
    </xf>
    <xf numFmtId="0" fontId="0" fillId="0" borderId="0" xfId="0" applyAlignment="1">
      <alignment horizontal="right"/>
    </xf>
    <xf numFmtId="0" fontId="10" fillId="6" borderId="0" xfId="0" applyFont="1" applyFill="1" applyAlignment="1">
      <alignment horizontal="center"/>
    </xf>
    <xf numFmtId="0" fontId="0" fillId="0" borderId="0" xfId="1" applyFont="1" applyAlignment="1">
      <alignment vertical="center" wrapText="1"/>
    </xf>
    <xf numFmtId="0" fontId="2" fillId="4" borderId="0" xfId="1" applyFont="1" applyFill="1" applyAlignment="1">
      <alignment vertical="center" wrapText="1"/>
    </xf>
    <xf numFmtId="0" fontId="5" fillId="2" borderId="0" xfId="1" applyFont="1" applyFill="1" applyAlignment="1">
      <alignment horizontal="center" vertical="center" wrapText="1"/>
    </xf>
    <xf numFmtId="0" fontId="1" fillId="2" borderId="0" xfId="1" applyFont="1" applyFill="1" applyAlignment="1">
      <alignment vertical="center"/>
    </xf>
    <xf numFmtId="0" fontId="2" fillId="0" borderId="0" xfId="1" applyFont="1"/>
    <xf numFmtId="0" fontId="3" fillId="3" borderId="0" xfId="1" applyFont="1" applyFill="1" applyAlignment="1">
      <alignment horizontal="center" vertical="center" wrapText="1"/>
    </xf>
    <xf numFmtId="0" fontId="4" fillId="0" borderId="0" xfId="1" applyFont="1" applyAlignment="1">
      <alignment horizontal="center" vertical="center"/>
    </xf>
    <xf numFmtId="9" fontId="4" fillId="0" borderId="0" xfId="1" applyNumberFormat="1" applyFont="1" applyAlignment="1">
      <alignment horizontal="center" vertical="center"/>
    </xf>
    <xf numFmtId="0" fontId="2" fillId="4" borderId="2" xfId="1" applyFont="1" applyFill="1" applyBorder="1" applyAlignment="1">
      <alignment wrapText="1"/>
    </xf>
    <xf numFmtId="0" fontId="2" fillId="4" borderId="3" xfId="1" applyFont="1" applyFill="1" applyBorder="1" applyAlignment="1">
      <alignment wrapText="1"/>
    </xf>
    <xf numFmtId="0" fontId="2" fillId="4" borderId="4" xfId="1" applyFont="1" applyFill="1" applyBorder="1" applyAlignment="1">
      <alignment wrapText="1"/>
    </xf>
    <xf numFmtId="0" fontId="2" fillId="4" borderId="5" xfId="1" applyFont="1" applyFill="1" applyBorder="1" applyAlignment="1">
      <alignment wrapText="1"/>
    </xf>
    <xf numFmtId="0" fontId="2" fillId="4" borderId="6" xfId="1" applyFont="1" applyFill="1" applyBorder="1" applyAlignment="1">
      <alignment wrapText="1"/>
    </xf>
    <xf numFmtId="0" fontId="2" fillId="4" borderId="7" xfId="1" applyFont="1" applyFill="1" applyBorder="1" applyAlignment="1">
      <alignment wrapText="1"/>
    </xf>
    <xf numFmtId="0" fontId="0" fillId="0" borderId="0" xfId="0" applyAlignment="1">
      <alignment horizontal="left" vertical="center" wrapText="1"/>
    </xf>
    <xf numFmtId="0" fontId="1" fillId="2" borderId="0" xfId="1" applyFont="1" applyFill="1" applyAlignment="1">
      <alignment horizontal="left" vertical="center"/>
    </xf>
    <xf numFmtId="0" fontId="1" fillId="2" borderId="0" xfId="1" applyFont="1" applyFill="1" applyAlignment="1">
      <alignment horizontal="center" vertical="center"/>
    </xf>
  </cellXfs>
  <cellStyles count="3">
    <cellStyle name="Link" xfId="2" builtinId="8"/>
    <cellStyle name="Normal" xfId="1" xr:uid="{00000000-0005-0000-0000-000000000000}"/>
    <cellStyle name="Standard" xfId="0" builtinId="0"/>
  </cellStyles>
  <dxfs count="11">
    <dxf>
      <font>
        <b val="0"/>
        <i val="0"/>
        <strike val="0"/>
        <condense val="0"/>
        <extend val="0"/>
        <outline val="0"/>
        <shadow val="0"/>
        <u val="none"/>
        <vertAlign val="baseline"/>
        <sz val="11"/>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rlito"/>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Carlito"/>
        <scheme val="none"/>
      </font>
      <alignment horizontal="general" vertical="bottom" textRotation="0" wrapText="1" indent="0" justifyLastLine="0" shrinkToFit="0" readingOrder="0"/>
    </dxf>
    <dxf>
      <font>
        <b/>
        <i val="0"/>
        <strike val="0"/>
        <condense val="0"/>
        <extend val="0"/>
        <outline val="0"/>
        <shadow val="0"/>
        <u val="none"/>
        <vertAlign val="baseline"/>
        <sz val="10"/>
        <color rgb="FFFFFFFF"/>
        <name val="Carlito"/>
        <scheme val="none"/>
      </font>
      <fill>
        <patternFill patternType="solid">
          <fgColor indexed="64"/>
          <bgColor rgb="FF17324D"/>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Carlito"/>
        <scheme val="none"/>
      </font>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Carlito"/>
        <scheme val="none"/>
      </font>
      <numFmt numFmtId="0" formatCode="General"/>
      <fill>
        <patternFill patternType="solid">
          <fgColor indexed="64"/>
          <bgColor rgb="FF17324D"/>
        </patternFill>
      </fill>
      <alignment horizontal="right" vertical="center" textRotation="0" wrapText="1" indent="0" justifyLastLine="0" shrinkToFit="0" readingOrder="0"/>
    </dxf>
  </dxfs>
  <tableStyles count="0" defaultTableStyle="TableStyleMedium2" defaultPivotStyle="PivotStyleLight16"/>
  <colors>
    <mruColors>
      <color rgb="FF1732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a:lstStyle/>
          <a:p>
            <a:r>
              <a:rPr lang="de-DE" sz="1600"/>
              <a:t>Broader European Ophthalmic Lens Market, 2025–2035</a:t>
            </a:r>
          </a:p>
        </c:rich>
      </c:tx>
      <c:overlay val="1"/>
    </c:title>
    <c:autoTitleDeleted val="0"/>
    <c:plotArea>
      <c:layout/>
      <c:lineChart>
        <c:grouping val="standard"/>
        <c:varyColors val="1"/>
        <c:ser>
          <c:idx val="0"/>
          <c:order val="0"/>
          <c:tx>
            <c:v>Market size (USD bn)</c:v>
          </c:tx>
          <c:marker>
            <c:symbol val="none"/>
          </c:marker>
          <c:cat>
            <c:numRef>
              <c:f>Broader_Market_Context!$A$5:$A$15</c:f>
              <c:numCache>
                <c:formatCode>General</c:formatCode>
                <c:ptCount val="11"/>
                <c:pt idx="0">
                  <c:v>2025</c:v>
                </c:pt>
                <c:pt idx="1">
                  <c:v>2026</c:v>
                </c:pt>
                <c:pt idx="2">
                  <c:v>2027</c:v>
                </c:pt>
                <c:pt idx="3">
                  <c:v>2028</c:v>
                </c:pt>
                <c:pt idx="4">
                  <c:v>2029</c:v>
                </c:pt>
                <c:pt idx="5">
                  <c:v>2030</c:v>
                </c:pt>
                <c:pt idx="6">
                  <c:v>2031</c:v>
                </c:pt>
                <c:pt idx="7">
                  <c:v>2032</c:v>
                </c:pt>
                <c:pt idx="8">
                  <c:v>2033</c:v>
                </c:pt>
                <c:pt idx="9">
                  <c:v>2034</c:v>
                </c:pt>
                <c:pt idx="10">
                  <c:v>2035</c:v>
                </c:pt>
              </c:numCache>
            </c:numRef>
          </c:cat>
          <c:val>
            <c:numRef>
              <c:f>Broader_Market_Context!$B$5:$B$15</c:f>
              <c:numCache>
                <c:formatCode>0.00</c:formatCode>
                <c:ptCount val="11"/>
                <c:pt idx="0">
                  <c:v>5.4</c:v>
                </c:pt>
                <c:pt idx="1">
                  <c:v>5.7</c:v>
                </c:pt>
                <c:pt idx="2">
                  <c:v>5.9622000000000002</c:v>
                </c:pt>
                <c:pt idx="3">
                  <c:v>6.2364612000000008</c:v>
                </c:pt>
                <c:pt idx="4">
                  <c:v>6.5233384152000014</c:v>
                </c:pt>
                <c:pt idx="5">
                  <c:v>6.8234119822992021</c:v>
                </c:pt>
                <c:pt idx="6">
                  <c:v>7.1372889334849656</c:v>
                </c:pt>
                <c:pt idx="7">
                  <c:v>7.4656042244252747</c:v>
                </c:pt>
                <c:pt idx="8">
                  <c:v>7.8090220187488377</c:v>
                </c:pt>
                <c:pt idx="9">
                  <c:v>8.1682370316112838</c:v>
                </c:pt>
                <c:pt idx="10">
                  <c:v>8.5439759350654025</c:v>
                </c:pt>
              </c:numCache>
            </c:numRef>
          </c:val>
          <c:smooth val="1"/>
          <c:extLst>
            <c:ext xmlns:c16="http://schemas.microsoft.com/office/drawing/2014/chart" uri="{C3380CC4-5D6E-409C-BE32-E72D297353CC}">
              <c16:uniqueId val="{00000000-4777-4261-B866-4AC441C19FE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Industry Revenue Development, 2022–2025</a:t>
            </a:r>
          </a:p>
          <a:p>
            <a:pPr>
              <a:defRPr/>
            </a:pPr>
            <a:r>
              <a:rPr lang="en-US"/>
              <a:t>(€ bn)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Germany_Market!$B$12</c:f>
              <c:strCache>
                <c:ptCount val="1"/>
                <c:pt idx="0">
                  <c:v>Industry revenue (€ bn)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Germany_Market!$A$13:$A$16</c:f>
              <c:numCache>
                <c:formatCode>General</c:formatCode>
                <c:ptCount val="4"/>
                <c:pt idx="0">
                  <c:v>2022</c:v>
                </c:pt>
                <c:pt idx="1">
                  <c:v>2023</c:v>
                </c:pt>
                <c:pt idx="2">
                  <c:v>2024</c:v>
                </c:pt>
                <c:pt idx="3">
                  <c:v>2025</c:v>
                </c:pt>
              </c:numCache>
            </c:numRef>
          </c:cat>
          <c:val>
            <c:numRef>
              <c:f>Germany_Market!$B$13:$B$16</c:f>
              <c:numCache>
                <c:formatCode>0.000</c:formatCode>
                <c:ptCount val="4"/>
                <c:pt idx="0">
                  <c:v>6.6879999999999997</c:v>
                </c:pt>
                <c:pt idx="1">
                  <c:v>6.7629999999999999</c:v>
                </c:pt>
                <c:pt idx="2">
                  <c:v>6.9749999999999996</c:v>
                </c:pt>
                <c:pt idx="3">
                  <c:v>7.0250000000000004</c:v>
                </c:pt>
              </c:numCache>
            </c:numRef>
          </c:val>
          <c:smooth val="0"/>
          <c:extLst>
            <c:ext xmlns:c16="http://schemas.microsoft.com/office/drawing/2014/chart" uri="{C3380CC4-5D6E-409C-BE32-E72D297353CC}">
              <c16:uniqueId val="{00000000-1C0B-4E1D-ACAE-AA64A4A957B2}"/>
            </c:ext>
          </c:extLst>
        </c:ser>
        <c:dLbls>
          <c:dLblPos val="t"/>
          <c:showLegendKey val="0"/>
          <c:showVal val="1"/>
          <c:showCatName val="0"/>
          <c:showSerName val="0"/>
          <c:showPercent val="0"/>
          <c:showBubbleSize val="0"/>
        </c:dLbls>
        <c:marker val="1"/>
        <c:smooth val="0"/>
        <c:axId val="1689203328"/>
        <c:axId val="1596129360"/>
      </c:lineChart>
      <c:catAx>
        <c:axId val="168920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96129360"/>
        <c:crosses val="autoZero"/>
        <c:auto val="1"/>
        <c:lblAlgn val="ctr"/>
        <c:lblOffset val="100"/>
        <c:noMultiLvlLbl val="0"/>
      </c:catAx>
      <c:valAx>
        <c:axId val="159612936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89203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Unit Sales Development, 2022–2025</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Germany_Market!$C$12</c:f>
              <c:strCache>
                <c:ptCount val="1"/>
                <c:pt idx="0">
                  <c:v>Complete spectacles (m)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Germany_Market!$A$13:$A$16</c:f>
              <c:numCache>
                <c:formatCode>General</c:formatCode>
                <c:ptCount val="4"/>
                <c:pt idx="0">
                  <c:v>2022</c:v>
                </c:pt>
                <c:pt idx="1">
                  <c:v>2023</c:v>
                </c:pt>
                <c:pt idx="2">
                  <c:v>2024</c:v>
                </c:pt>
                <c:pt idx="3">
                  <c:v>2025</c:v>
                </c:pt>
              </c:numCache>
            </c:numRef>
          </c:cat>
          <c:val>
            <c:numRef>
              <c:f>Germany_Market!$C$13:$C$16</c:f>
              <c:numCache>
                <c:formatCode>0.00</c:formatCode>
                <c:ptCount val="4"/>
                <c:pt idx="0">
                  <c:v>12.52</c:v>
                </c:pt>
                <c:pt idx="1">
                  <c:v>12.18</c:v>
                </c:pt>
                <c:pt idx="2">
                  <c:v>12</c:v>
                </c:pt>
                <c:pt idx="3">
                  <c:v>11.77</c:v>
                </c:pt>
              </c:numCache>
            </c:numRef>
          </c:val>
          <c:smooth val="0"/>
          <c:extLst>
            <c:ext xmlns:c16="http://schemas.microsoft.com/office/drawing/2014/chart" uri="{C3380CC4-5D6E-409C-BE32-E72D297353CC}">
              <c16:uniqueId val="{00000000-7BB4-4A99-977F-1CF506D292B0}"/>
            </c:ext>
          </c:extLst>
        </c:ser>
        <c:ser>
          <c:idx val="1"/>
          <c:order val="1"/>
          <c:tx>
            <c:strRef>
              <c:f>Germany_Market!$D$12</c:f>
              <c:strCache>
                <c:ptCount val="1"/>
                <c:pt idx="0">
                  <c:v>Spectacle lenses (m)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Germany_Market!$A$13:$A$16</c:f>
              <c:numCache>
                <c:formatCode>General</c:formatCode>
                <c:ptCount val="4"/>
                <c:pt idx="0">
                  <c:v>2022</c:v>
                </c:pt>
                <c:pt idx="1">
                  <c:v>2023</c:v>
                </c:pt>
                <c:pt idx="2">
                  <c:v>2024</c:v>
                </c:pt>
                <c:pt idx="3">
                  <c:v>2025</c:v>
                </c:pt>
              </c:numCache>
            </c:numRef>
          </c:cat>
          <c:val>
            <c:numRef>
              <c:f>Germany_Market!$D$13:$D$16</c:f>
              <c:numCache>
                <c:formatCode>0.00</c:formatCode>
                <c:ptCount val="4"/>
                <c:pt idx="0">
                  <c:v>38.729999999999997</c:v>
                </c:pt>
                <c:pt idx="1">
                  <c:v>37.74</c:v>
                </c:pt>
                <c:pt idx="2">
                  <c:v>37.18</c:v>
                </c:pt>
                <c:pt idx="3">
                  <c:v>36.56</c:v>
                </c:pt>
              </c:numCache>
            </c:numRef>
          </c:val>
          <c:smooth val="0"/>
          <c:extLst>
            <c:ext xmlns:c16="http://schemas.microsoft.com/office/drawing/2014/chart" uri="{C3380CC4-5D6E-409C-BE32-E72D297353CC}">
              <c16:uniqueId val="{00000001-7BB4-4A99-977F-1CF506D292B0}"/>
            </c:ext>
          </c:extLst>
        </c:ser>
        <c:dLbls>
          <c:dLblPos val="t"/>
          <c:showLegendKey val="0"/>
          <c:showVal val="1"/>
          <c:showCatName val="0"/>
          <c:showSerName val="0"/>
          <c:showPercent val="0"/>
          <c:showBubbleSize val="0"/>
        </c:dLbls>
        <c:marker val="1"/>
        <c:smooth val="0"/>
        <c:axId val="1453323328"/>
        <c:axId val="1596082320"/>
      </c:lineChart>
      <c:catAx>
        <c:axId val="145332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96082320"/>
        <c:crosses val="autoZero"/>
        <c:auto val="1"/>
        <c:lblAlgn val="ctr"/>
        <c:lblOffset val="100"/>
        <c:noMultiLvlLbl val="0"/>
      </c:catAx>
      <c:valAx>
        <c:axId val="1596082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53323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0</xdr:colOff>
      <xdr:row>3</xdr:row>
      <xdr:rowOff>0</xdr:rowOff>
    </xdr:from>
    <xdr:to>
      <xdr:col>15</xdr:col>
      <xdr:colOff>0</xdr:colOff>
      <xdr:row>18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59973</xdr:colOff>
      <xdr:row>10</xdr:row>
      <xdr:rowOff>53622</xdr:rowOff>
    </xdr:from>
    <xdr:to>
      <xdr:col>4</xdr:col>
      <xdr:colOff>377473</xdr:colOff>
      <xdr:row>21</xdr:row>
      <xdr:rowOff>143933</xdr:rowOff>
    </xdr:to>
    <xdr:graphicFrame macro="">
      <xdr:nvGraphicFramePr>
        <xdr:cNvPr id="5" name="Diagramm 4">
          <a:extLst>
            <a:ext uri="{FF2B5EF4-FFF2-40B4-BE49-F238E27FC236}">
              <a16:creationId xmlns:a16="http://schemas.microsoft.com/office/drawing/2014/main" id="{9944B6F7-11BD-2B7B-867A-81D0B0729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45860</xdr:colOff>
      <xdr:row>10</xdr:row>
      <xdr:rowOff>53622</xdr:rowOff>
    </xdr:from>
    <xdr:to>
      <xdr:col>8</xdr:col>
      <xdr:colOff>278694</xdr:colOff>
      <xdr:row>21</xdr:row>
      <xdr:rowOff>143933</xdr:rowOff>
    </xdr:to>
    <xdr:graphicFrame macro="">
      <xdr:nvGraphicFramePr>
        <xdr:cNvPr id="7" name="Diagramm 6">
          <a:extLst>
            <a:ext uri="{FF2B5EF4-FFF2-40B4-BE49-F238E27FC236}">
              <a16:creationId xmlns:a16="http://schemas.microsoft.com/office/drawing/2014/main" id="{E0F9531C-C2BD-57A3-8906-2D2CE86AD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EF9F3F-502A-47FD-9425-470312111D1D}" name="Tabelle2" displayName="Tabelle2" ref="A4:E8" totalsRowShown="0" headerRowDxfId="10">
  <autoFilter ref="A4:E8" xr:uid="{DEEF9F3F-502A-47FD-9425-470312111D1D}">
    <filterColumn colId="0" hiddenButton="1"/>
    <filterColumn colId="1" hiddenButton="1"/>
    <filterColumn colId="2" hiddenButton="1"/>
    <filterColumn colId="3" hiddenButton="1"/>
    <filterColumn colId="4" hiddenButton="1"/>
  </autoFilter>
  <tableColumns count="5">
    <tableColumn id="1" xr3:uid="{8B9C92B5-8B13-4C32-92AE-F4C62B9C09E5}" name="Metric" dataDxfId="9"/>
    <tableColumn id="2" xr3:uid="{80C32CB2-4D44-4862-A35C-F18B58180226}" name="2022"/>
    <tableColumn id="3" xr3:uid="{2118D93B-7B68-46DA-881F-C37E763F725C}" name="2023" dataDxfId="8"/>
    <tableColumn id="4" xr3:uid="{520942B0-7F80-402C-A7AA-D8F16C708743}" name="2024" dataDxfId="7"/>
    <tableColumn id="5" xr3:uid="{AAE22934-B177-446F-8042-B6C4C5396DD7}" name="2025"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Evidence" displayName="ProductEvidence" ref="A4:F16" totalsRowShown="0">
  <tableColumns count="6">
    <tableColumn id="1" xr3:uid="{00000000-0010-0000-0000-000001000000}" name="Company"/>
    <tableColumn id="2" xr3:uid="{00000000-0010-0000-0000-000002000000}" name="Category"/>
    <tableColumn id="3" xr3:uid="{00000000-0010-0000-0000-000003000000}" name="Product"/>
    <tableColumn id="4" xr3:uid="{00000000-0010-0000-0000-000004000000}" name="Evidence / feature"/>
    <tableColumn id="5" xr3:uid="{00000000-0010-0000-0000-000005000000}" name="Strategic role"/>
    <tableColumn id="6" xr3:uid="{A60F161C-AD62-4D0C-9E17-84964824575D}" name="Source ID"/>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AA5067-D22F-43B4-95D0-E654A099D529}" name="Tabelle3" displayName="Tabelle3" ref="A4:E23" totalsRowShown="0" headerRowDxfId="5" dataDxfId="4" headerRowCellStyle="Normal" dataCellStyle="Normal">
  <autoFilter ref="A4:E23" xr:uid="{98AA5067-D22F-43B4-95D0-E654A099D529}">
    <filterColumn colId="0" hiddenButton="1"/>
    <filterColumn colId="1" hiddenButton="1"/>
    <filterColumn colId="2" hiddenButton="1"/>
    <filterColumn colId="3" hiddenButton="1"/>
    <filterColumn colId="4" hiddenButton="1"/>
  </autoFilter>
  <tableColumns count="5">
    <tableColumn id="1" xr3:uid="{03F57DEC-5AE1-4400-83C1-7188A21F300D}" name="ID"/>
    <tableColumn id="2" xr3:uid="{628EF678-1D7B-430E-8918-DCB65564B656}" name="Topic" dataDxfId="3" dataCellStyle="Normal"/>
    <tableColumn id="3" xr3:uid="{874004F6-3F4A-40AF-B624-9CC923FE0E3E}" name="Source" dataDxfId="2" dataCellStyle="Normal"/>
    <tableColumn id="4" xr3:uid="{237A36ED-1679-4943-A543-5B4E21582CC8}" name="What was used" dataDxfId="1" dataCellStyle="Normal"/>
    <tableColumn id="5" xr3:uid="{1F32B426-DCC2-4001-B6DB-B2722711E05D}" name="URL" dataDxfId="0" dataCellStyle="Normal"/>
  </tableColumns>
  <tableStyleInfo name="TableStyleMedium16"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1.bin"/><Relationship Id="rId1" Type="http://schemas.openxmlformats.org/officeDocument/2006/relationships/hyperlink" Target="https://www.zeiss.com/vision-care/en/need-new-lenses/clearmind-progressive-lens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workbookViewId="0">
      <selection activeCell="B10" sqref="B10:E10"/>
    </sheetView>
  </sheetViews>
  <sheetFormatPr baseColWidth="10" defaultColWidth="8.6640625" defaultRowHeight="14"/>
  <cols>
    <col min="1" max="1" width="8" customWidth="1"/>
    <col min="2" max="2" width="46" customWidth="1"/>
    <col min="3" max="3" width="10" customWidth="1"/>
    <col min="4" max="4" width="20" customWidth="1"/>
    <col min="5" max="5" width="10" customWidth="1"/>
    <col min="6" max="6" width="20" customWidth="1"/>
    <col min="7" max="7" width="10" customWidth="1"/>
    <col min="8" max="8" width="20" customWidth="1"/>
  </cols>
  <sheetData>
    <row r="1" spans="1:8">
      <c r="A1" s="37" t="s">
        <v>0</v>
      </c>
      <c r="B1" s="37"/>
      <c r="C1" s="37"/>
      <c r="D1" s="37"/>
      <c r="E1" s="37"/>
      <c r="F1" s="37"/>
      <c r="G1" s="37"/>
      <c r="H1" s="37"/>
    </row>
    <row r="2" spans="1:8">
      <c r="A2" s="37"/>
      <c r="B2" s="37"/>
      <c r="C2" s="37"/>
      <c r="D2" s="37"/>
      <c r="E2" s="37"/>
      <c r="F2" s="37"/>
      <c r="G2" s="37"/>
      <c r="H2" s="37"/>
    </row>
    <row r="3" spans="1:8" ht="14.5">
      <c r="A3" s="38" t="s">
        <v>1</v>
      </c>
      <c r="B3" s="38"/>
      <c r="C3" s="38"/>
      <c r="D3" s="38"/>
      <c r="E3" s="38"/>
      <c r="F3" s="38"/>
      <c r="G3" s="38"/>
      <c r="H3" s="38"/>
    </row>
    <row r="5" spans="1:8" s="9" customFormat="1" ht="27.5" customHeight="1">
      <c r="A5" s="39" t="s">
        <v>140</v>
      </c>
      <c r="B5" s="39"/>
      <c r="C5" s="39" t="s">
        <v>142</v>
      </c>
      <c r="D5" s="39"/>
      <c r="E5" s="39" t="s">
        <v>139</v>
      </c>
      <c r="F5" s="39"/>
      <c r="G5" s="39" t="s">
        <v>2</v>
      </c>
      <c r="H5" s="39"/>
    </row>
    <row r="6" spans="1:8" ht="14" customHeight="1">
      <c r="A6" s="40" t="s">
        <v>141</v>
      </c>
      <c r="B6" s="40"/>
      <c r="C6" s="40" t="s">
        <v>143</v>
      </c>
      <c r="D6" s="40"/>
      <c r="E6" s="41">
        <v>0.55000000000000004</v>
      </c>
      <c r="F6" s="41"/>
      <c r="G6" s="41">
        <v>0.22</v>
      </c>
      <c r="H6" s="41"/>
    </row>
    <row r="7" spans="1:8" ht="14" customHeight="1">
      <c r="A7" s="40"/>
      <c r="B7" s="40"/>
      <c r="C7" s="40"/>
      <c r="D7" s="40"/>
      <c r="E7" s="41"/>
      <c r="F7" s="41"/>
      <c r="G7" s="41"/>
      <c r="H7" s="41"/>
    </row>
    <row r="9" spans="1:8">
      <c r="A9" s="36" t="s">
        <v>3</v>
      </c>
      <c r="B9" s="36"/>
      <c r="C9" s="36"/>
      <c r="D9" s="36" t="s">
        <v>4</v>
      </c>
      <c r="E9" s="36"/>
      <c r="F9" s="36" t="s">
        <v>4</v>
      </c>
      <c r="G9" s="36"/>
      <c r="H9" s="36"/>
    </row>
    <row r="10" spans="1:8" ht="30.5" customHeight="1">
      <c r="A10" s="8">
        <v>1</v>
      </c>
      <c r="B10" s="34" t="s">
        <v>146</v>
      </c>
      <c r="C10" s="34"/>
      <c r="D10" s="35"/>
      <c r="E10" s="35"/>
      <c r="F10" s="35" t="s">
        <v>239</v>
      </c>
      <c r="G10" s="35"/>
      <c r="H10" s="35"/>
    </row>
    <row r="11" spans="1:8" ht="28" customHeight="1">
      <c r="A11" s="8">
        <v>2</v>
      </c>
      <c r="B11" s="34" t="s">
        <v>147</v>
      </c>
      <c r="C11" s="34"/>
      <c r="D11" s="35"/>
      <c r="E11" s="35"/>
      <c r="F11" s="35"/>
      <c r="G11" s="35"/>
      <c r="H11" s="35"/>
    </row>
    <row r="12" spans="1:8" ht="35.5" customHeight="1">
      <c r="A12" s="8">
        <v>3</v>
      </c>
      <c r="B12" s="34" t="s">
        <v>240</v>
      </c>
      <c r="C12" s="34"/>
      <c r="D12" s="35"/>
      <c r="E12" s="35"/>
      <c r="F12" s="35"/>
      <c r="G12" s="35"/>
      <c r="H12" s="35"/>
    </row>
    <row r="13" spans="1:8" ht="34.5" customHeight="1">
      <c r="A13" s="8">
        <v>4</v>
      </c>
      <c r="B13" s="34" t="s">
        <v>148</v>
      </c>
      <c r="C13" s="34"/>
      <c r="D13" s="35"/>
      <c r="E13" s="35"/>
      <c r="F13" s="35"/>
      <c r="G13" s="35"/>
      <c r="H13" s="35"/>
    </row>
    <row r="14" spans="1:8" ht="30.5" customHeight="1">
      <c r="A14" s="8">
        <v>5</v>
      </c>
      <c r="B14" s="34" t="s">
        <v>241</v>
      </c>
      <c r="C14" s="34"/>
      <c r="D14" s="35"/>
      <c r="E14" s="35"/>
      <c r="F14" s="35"/>
      <c r="G14" s="35"/>
      <c r="H14" s="35"/>
    </row>
  </sheetData>
  <mergeCells count="18">
    <mergeCell ref="A1:H2"/>
    <mergeCell ref="A3:H3"/>
    <mergeCell ref="A5:B5"/>
    <mergeCell ref="A6:B7"/>
    <mergeCell ref="C5:D5"/>
    <mergeCell ref="C6:D7"/>
    <mergeCell ref="E5:F5"/>
    <mergeCell ref="E6:F7"/>
    <mergeCell ref="G5:H5"/>
    <mergeCell ref="G6:H7"/>
    <mergeCell ref="B13:E13"/>
    <mergeCell ref="B14:E14"/>
    <mergeCell ref="F10:H14"/>
    <mergeCell ref="A9:E9"/>
    <mergeCell ref="F9:H9"/>
    <mergeCell ref="B10:E10"/>
    <mergeCell ref="B11:E11"/>
    <mergeCell ref="B12: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selection activeCell="F23" sqref="F23"/>
    </sheetView>
  </sheetViews>
  <sheetFormatPr baseColWidth="10" defaultColWidth="8.6640625" defaultRowHeight="14"/>
  <cols>
    <col min="1" max="1" width="12" customWidth="1"/>
    <col min="2" max="2" width="22" customWidth="1"/>
    <col min="3" max="3" width="18" customWidth="1"/>
    <col min="4" max="4" width="4" customWidth="1"/>
    <col min="5" max="5" width="28" customWidth="1"/>
    <col min="6" max="6" width="18" customWidth="1"/>
    <col min="7" max="7" width="4" customWidth="1"/>
    <col min="8" max="15" width="12" customWidth="1"/>
  </cols>
  <sheetData>
    <row r="1" spans="1:6">
      <c r="A1" s="37" t="s">
        <v>144</v>
      </c>
      <c r="B1" s="37"/>
      <c r="C1" s="37"/>
      <c r="D1" s="37"/>
      <c r="E1" s="37"/>
      <c r="F1" s="37"/>
    </row>
    <row r="2" spans="1:6">
      <c r="A2" s="37"/>
      <c r="B2" s="37"/>
      <c r="C2" s="37"/>
      <c r="D2" s="37"/>
      <c r="E2" s="37"/>
      <c r="F2" s="37"/>
    </row>
    <row r="4" spans="1:6">
      <c r="A4" s="1" t="s">
        <v>5</v>
      </c>
      <c r="B4" s="1" t="s">
        <v>6</v>
      </c>
      <c r="C4" s="31" t="s">
        <v>7</v>
      </c>
      <c r="E4" s="1" t="s">
        <v>8</v>
      </c>
      <c r="F4" s="1" t="s">
        <v>9</v>
      </c>
    </row>
    <row r="5" spans="1:6">
      <c r="A5">
        <v>2025</v>
      </c>
      <c r="B5" s="4">
        <v>5.4</v>
      </c>
      <c r="C5" s="32" t="s">
        <v>242</v>
      </c>
      <c r="E5" t="s">
        <v>10</v>
      </c>
      <c r="F5" s="5">
        <v>4.5999999999999999E-2</v>
      </c>
    </row>
    <row r="6" spans="1:6">
      <c r="A6">
        <v>2026</v>
      </c>
      <c r="B6" s="4">
        <v>5.7</v>
      </c>
      <c r="C6" s="32" t="s">
        <v>242</v>
      </c>
      <c r="E6" t="s">
        <v>11</v>
      </c>
      <c r="F6" s="3">
        <v>5.4</v>
      </c>
    </row>
    <row r="7" spans="1:6">
      <c r="A7">
        <v>2027</v>
      </c>
      <c r="B7" s="4">
        <f t="shared" ref="B7:B15" si="0">B6*(1+$F$5)</f>
        <v>5.9622000000000002</v>
      </c>
      <c r="C7" s="32" t="s">
        <v>12</v>
      </c>
      <c r="E7" t="s">
        <v>13</v>
      </c>
      <c r="F7" s="3">
        <v>5.7</v>
      </c>
    </row>
    <row r="8" spans="1:6">
      <c r="A8">
        <v>2028</v>
      </c>
      <c r="B8" s="4">
        <f t="shared" si="0"/>
        <v>6.2364612000000008</v>
      </c>
      <c r="C8" s="32" t="s">
        <v>12</v>
      </c>
    </row>
    <row r="9" spans="1:6">
      <c r="A9">
        <v>2029</v>
      </c>
      <c r="B9" s="4">
        <f t="shared" si="0"/>
        <v>6.5233384152000014</v>
      </c>
      <c r="C9" s="32" t="s">
        <v>12</v>
      </c>
      <c r="E9" s="42" t="s">
        <v>14</v>
      </c>
      <c r="F9" s="43"/>
    </row>
    <row r="10" spans="1:6">
      <c r="A10">
        <v>2030</v>
      </c>
      <c r="B10" s="4">
        <f t="shared" si="0"/>
        <v>6.8234119822992021</v>
      </c>
      <c r="C10" s="32" t="s">
        <v>12</v>
      </c>
      <c r="E10" s="44"/>
      <c r="F10" s="45"/>
    </row>
    <row r="11" spans="1:6">
      <c r="A11">
        <v>2031</v>
      </c>
      <c r="B11" s="4">
        <f t="shared" si="0"/>
        <v>7.1372889334849656</v>
      </c>
      <c r="C11" s="32" t="s">
        <v>12</v>
      </c>
      <c r="E11" s="44"/>
      <c r="F11" s="45"/>
    </row>
    <row r="12" spans="1:6">
      <c r="A12">
        <v>2032</v>
      </c>
      <c r="B12" s="4">
        <f t="shared" si="0"/>
        <v>7.4656042244252747</v>
      </c>
      <c r="C12" s="32" t="s">
        <v>12</v>
      </c>
      <c r="E12" s="46"/>
      <c r="F12" s="47"/>
    </row>
    <row r="13" spans="1:6">
      <c r="A13">
        <v>2033</v>
      </c>
      <c r="B13" s="4">
        <f t="shared" si="0"/>
        <v>7.8090220187488377</v>
      </c>
      <c r="C13" s="32" t="s">
        <v>12</v>
      </c>
    </row>
    <row r="14" spans="1:6">
      <c r="A14">
        <v>2034</v>
      </c>
      <c r="B14" s="4">
        <f t="shared" si="0"/>
        <v>8.1682370316112838</v>
      </c>
      <c r="C14" s="32" t="s">
        <v>12</v>
      </c>
      <c r="E14" s="42" t="s">
        <v>145</v>
      </c>
      <c r="F14" s="43"/>
    </row>
    <row r="15" spans="1:6">
      <c r="A15">
        <v>2035</v>
      </c>
      <c r="B15" s="4">
        <f t="shared" si="0"/>
        <v>8.5439759350654025</v>
      </c>
      <c r="C15" s="32" t="s">
        <v>12</v>
      </c>
      <c r="E15" s="44"/>
      <c r="F15" s="45"/>
    </row>
    <row r="16" spans="1:6">
      <c r="E16" s="44"/>
      <c r="F16" s="45"/>
    </row>
    <row r="17" spans="5:6">
      <c r="E17" s="46"/>
      <c r="F17" s="47"/>
    </row>
  </sheetData>
  <mergeCells count="3">
    <mergeCell ref="A1:F2"/>
    <mergeCell ref="E9:F12"/>
    <mergeCell ref="E14:F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
  <sheetViews>
    <sheetView zoomScale="90" zoomScaleNormal="90" workbookViewId="0">
      <selection activeCell="F8" sqref="F8"/>
    </sheetView>
  </sheetViews>
  <sheetFormatPr baseColWidth="10" defaultColWidth="8.6640625" defaultRowHeight="14"/>
  <cols>
    <col min="1" max="1" width="34" customWidth="1"/>
    <col min="2" max="2" width="8.5" bestFit="1" customWidth="1"/>
    <col min="3" max="4" width="6.6640625" customWidth="1"/>
    <col min="5" max="5" width="5.9140625" bestFit="1" customWidth="1"/>
    <col min="6" max="6" width="14.4140625" customWidth="1"/>
    <col min="7" max="7" width="33.75" bestFit="1" customWidth="1"/>
  </cols>
  <sheetData>
    <row r="1" spans="1:13" ht="14" customHeight="1">
      <c r="A1" s="49" t="s">
        <v>150</v>
      </c>
      <c r="B1" s="49"/>
      <c r="C1" s="49"/>
      <c r="D1" s="49"/>
      <c r="E1" s="49"/>
      <c r="F1" s="49"/>
      <c r="G1" s="49"/>
      <c r="H1" s="49"/>
      <c r="I1" s="49"/>
      <c r="J1" s="49"/>
      <c r="K1" s="49"/>
      <c r="L1" s="49"/>
      <c r="M1" s="49"/>
    </row>
    <row r="2" spans="1:13" ht="14" customHeight="1">
      <c r="A2" s="49"/>
      <c r="B2" s="49"/>
      <c r="C2" s="49"/>
      <c r="D2" s="49"/>
      <c r="E2" s="49"/>
      <c r="F2" s="49"/>
      <c r="G2" s="49"/>
      <c r="H2" s="49"/>
      <c r="I2" s="49"/>
      <c r="J2" s="49"/>
      <c r="K2" s="49"/>
      <c r="L2" s="49"/>
      <c r="M2" s="49"/>
    </row>
    <row r="3" spans="1:13" ht="28.5" customHeight="1"/>
    <row r="4" spans="1:13" ht="14" customHeight="1">
      <c r="A4" s="19" t="s">
        <v>15</v>
      </c>
      <c r="B4" s="19" t="s">
        <v>153</v>
      </c>
      <c r="C4" s="33" t="s">
        <v>154</v>
      </c>
      <c r="D4" s="19" t="s">
        <v>155</v>
      </c>
      <c r="E4" s="19" t="s">
        <v>16</v>
      </c>
      <c r="F4" s="18"/>
      <c r="G4" s="1" t="s">
        <v>243</v>
      </c>
      <c r="H4" s="1" t="s">
        <v>9</v>
      </c>
      <c r="J4" s="36" t="s">
        <v>17</v>
      </c>
      <c r="K4" s="36"/>
      <c r="L4" s="36"/>
      <c r="M4" s="36"/>
    </row>
    <row r="5" spans="1:13" ht="14" customHeight="1">
      <c r="A5" s="23" t="s">
        <v>151</v>
      </c>
      <c r="B5" s="24">
        <v>6.69</v>
      </c>
      <c r="C5" s="24">
        <v>6.76</v>
      </c>
      <c r="D5" s="24">
        <v>6.98</v>
      </c>
      <c r="E5" s="25">
        <v>7.03</v>
      </c>
      <c r="F5" s="7"/>
      <c r="G5" t="s">
        <v>20</v>
      </c>
      <c r="H5" s="6">
        <v>0.55000000000000004</v>
      </c>
      <c r="J5" s="48" t="s">
        <v>152</v>
      </c>
      <c r="K5" s="48"/>
      <c r="L5" s="48"/>
      <c r="M5" s="48"/>
    </row>
    <row r="6" spans="1:13">
      <c r="A6" s="13" t="s">
        <v>18</v>
      </c>
      <c r="B6" s="16">
        <v>12.52</v>
      </c>
      <c r="C6" s="14">
        <v>12.18</v>
      </c>
      <c r="D6" s="14">
        <v>12</v>
      </c>
      <c r="E6" s="15">
        <v>11.77</v>
      </c>
      <c r="F6" s="7"/>
      <c r="G6" t="s">
        <v>21</v>
      </c>
      <c r="H6" s="6">
        <v>0.05</v>
      </c>
      <c r="J6" s="48"/>
      <c r="K6" s="48"/>
      <c r="L6" s="48"/>
      <c r="M6" s="48"/>
    </row>
    <row r="7" spans="1:13">
      <c r="A7" s="23" t="s">
        <v>19</v>
      </c>
      <c r="B7" s="24">
        <v>38.729999999999997</v>
      </c>
      <c r="C7" s="24">
        <v>37.74</v>
      </c>
      <c r="D7" s="24">
        <v>37.18</v>
      </c>
      <c r="E7" s="25">
        <v>36.56</v>
      </c>
      <c r="F7" s="7"/>
      <c r="G7" s="7"/>
      <c r="J7" s="48"/>
      <c r="K7" s="48"/>
      <c r="L7" s="48"/>
      <c r="M7" s="48"/>
    </row>
    <row r="8" spans="1:13">
      <c r="A8" s="13" t="s">
        <v>149</v>
      </c>
      <c r="B8" s="21">
        <v>11100</v>
      </c>
      <c r="C8" s="21">
        <v>11000</v>
      </c>
      <c r="D8" s="21">
        <v>10820</v>
      </c>
      <c r="E8" s="22">
        <v>10700</v>
      </c>
      <c r="F8" s="7"/>
      <c r="H8" s="6"/>
      <c r="J8" s="48"/>
      <c r="K8" s="48"/>
      <c r="L8" s="48"/>
      <c r="M8" s="48"/>
    </row>
    <row r="9" spans="1:13">
      <c r="B9" s="6"/>
      <c r="D9" s="7"/>
      <c r="E9" s="7"/>
      <c r="F9" s="7"/>
      <c r="H9" s="6"/>
      <c r="J9" s="48"/>
      <c r="K9" s="48"/>
      <c r="L9" s="48"/>
      <c r="M9" s="48"/>
    </row>
    <row r="10" spans="1:13">
      <c r="B10" s="6"/>
      <c r="D10" s="7"/>
      <c r="E10" s="7"/>
      <c r="F10" s="7"/>
      <c r="G10" s="27"/>
      <c r="H10" s="27"/>
      <c r="J10" s="48"/>
      <c r="K10" s="48"/>
      <c r="L10" s="48"/>
      <c r="M10" s="48"/>
    </row>
    <row r="11" spans="1:13" ht="14" customHeight="1">
      <c r="G11" s="28"/>
      <c r="H11" s="28"/>
      <c r="J11" s="48"/>
      <c r="K11" s="48"/>
      <c r="L11" s="48"/>
      <c r="M11" s="48"/>
    </row>
    <row r="12" spans="1:13" ht="70">
      <c r="A12" s="10" t="s">
        <v>5</v>
      </c>
      <c r="B12" s="12" t="s">
        <v>151</v>
      </c>
      <c r="C12" s="12" t="s">
        <v>156</v>
      </c>
      <c r="D12" s="12" t="s">
        <v>157</v>
      </c>
      <c r="G12" s="28"/>
      <c r="H12" s="28"/>
      <c r="J12" s="48"/>
      <c r="K12" s="48"/>
      <c r="L12" s="48"/>
      <c r="M12" s="48"/>
    </row>
    <row r="13" spans="1:13">
      <c r="A13" s="13">
        <v>2022</v>
      </c>
      <c r="B13" s="20">
        <v>6.6879999999999997</v>
      </c>
      <c r="C13" s="14">
        <v>12.52</v>
      </c>
      <c r="D13" s="14">
        <v>38.729999999999997</v>
      </c>
      <c r="E13" s="12"/>
      <c r="G13" s="28"/>
      <c r="H13" s="28"/>
      <c r="J13" s="48"/>
      <c r="K13" s="48"/>
      <c r="L13" s="48"/>
      <c r="M13" s="48"/>
    </row>
    <row r="14" spans="1:13">
      <c r="A14" s="13">
        <v>2023</v>
      </c>
      <c r="B14" s="20">
        <v>6.7629999999999999</v>
      </c>
      <c r="C14" s="14">
        <v>12.18</v>
      </c>
      <c r="D14" s="14">
        <v>37.74</v>
      </c>
      <c r="E14" s="15"/>
      <c r="G14" s="28"/>
      <c r="H14" s="28"/>
      <c r="J14" s="48"/>
      <c r="K14" s="48"/>
      <c r="L14" s="48"/>
      <c r="M14" s="48"/>
    </row>
    <row r="15" spans="1:13">
      <c r="A15" s="13">
        <v>2024</v>
      </c>
      <c r="B15" s="20">
        <v>6.9749999999999996</v>
      </c>
      <c r="C15" s="14">
        <v>12</v>
      </c>
      <c r="D15" s="14">
        <v>37.18</v>
      </c>
      <c r="E15" s="15"/>
      <c r="G15" s="28"/>
      <c r="H15" s="28"/>
      <c r="J15" s="48"/>
      <c r="K15" s="48"/>
      <c r="L15" s="48"/>
      <c r="M15" s="48"/>
    </row>
    <row r="16" spans="1:13">
      <c r="A16" s="13">
        <v>2025</v>
      </c>
      <c r="B16" s="20">
        <v>7.0250000000000004</v>
      </c>
      <c r="C16" s="14">
        <v>11.77</v>
      </c>
      <c r="D16" s="14">
        <v>36.56</v>
      </c>
      <c r="E16" s="12"/>
      <c r="G16" s="28"/>
      <c r="H16" s="28"/>
    </row>
    <row r="17" spans="1:8">
      <c r="A17" s="13"/>
      <c r="B17" s="11"/>
      <c r="C17" s="11"/>
      <c r="D17" s="11"/>
      <c r="E17" s="12"/>
      <c r="G17" s="28"/>
      <c r="H17" s="28"/>
    </row>
    <row r="18" spans="1:8">
      <c r="G18" s="28"/>
      <c r="H18" s="28"/>
    </row>
    <row r="19" spans="1:8">
      <c r="G19" s="28"/>
      <c r="H19" s="28"/>
    </row>
    <row r="20" spans="1:8">
      <c r="G20" s="28"/>
      <c r="H20" s="28"/>
    </row>
    <row r="21" spans="1:8">
      <c r="G21" s="28"/>
      <c r="H21" s="28"/>
    </row>
  </sheetData>
  <mergeCells count="3">
    <mergeCell ref="J4:M4"/>
    <mergeCell ref="J5:M15"/>
    <mergeCell ref="A1:M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0"/>
  <sheetViews>
    <sheetView zoomScale="53" zoomScaleNormal="80" workbookViewId="0">
      <selection activeCell="A4" sqref="A4"/>
    </sheetView>
  </sheetViews>
  <sheetFormatPr baseColWidth="10" defaultColWidth="8.6640625" defaultRowHeight="14"/>
  <cols>
    <col min="1" max="1" width="24" customWidth="1"/>
    <col min="2" max="2" width="23.83203125" bestFit="1" customWidth="1"/>
    <col min="3" max="3" width="28" customWidth="1"/>
    <col min="4" max="4" width="14.33203125" bestFit="1" customWidth="1"/>
    <col min="5" max="5" width="21.75" bestFit="1" customWidth="1"/>
    <col min="6" max="6" width="36" customWidth="1"/>
    <col min="7" max="7" width="29.1640625" bestFit="1" customWidth="1"/>
    <col min="8" max="8" width="36" bestFit="1" customWidth="1"/>
    <col min="9" max="9" width="13.33203125" bestFit="1" customWidth="1"/>
    <col min="10" max="10" width="37.4140625" customWidth="1"/>
    <col min="11" max="11" width="14" customWidth="1"/>
    <col min="12" max="12" width="42" customWidth="1"/>
    <col min="13" max="13" width="40" customWidth="1"/>
  </cols>
  <sheetData>
    <row r="1" spans="1:13" ht="20" customHeight="1">
      <c r="A1" s="37" t="s">
        <v>22</v>
      </c>
      <c r="B1" s="37"/>
      <c r="C1" s="37"/>
      <c r="D1" s="37"/>
      <c r="E1" s="37"/>
      <c r="F1" s="37"/>
      <c r="G1" s="37"/>
      <c r="H1" s="37"/>
      <c r="I1" s="37"/>
      <c r="J1" s="37"/>
      <c r="K1" s="37"/>
      <c r="L1" s="37"/>
      <c r="M1" s="37"/>
    </row>
    <row r="2" spans="1:13" ht="20" customHeight="1">
      <c r="A2" s="37"/>
      <c r="B2" s="37"/>
      <c r="C2" s="37"/>
      <c r="D2" s="37"/>
      <c r="E2" s="37"/>
      <c r="F2" s="37"/>
      <c r="G2" s="37"/>
      <c r="H2" s="37"/>
      <c r="I2" s="37"/>
      <c r="J2" s="37"/>
      <c r="K2" s="37"/>
      <c r="L2" s="37"/>
      <c r="M2" s="37"/>
    </row>
    <row r="3" spans="1:13" ht="20" customHeight="1"/>
    <row r="4" spans="1:13" ht="26">
      <c r="A4" s="1" t="s">
        <v>23</v>
      </c>
      <c r="B4" s="1" t="s">
        <v>162</v>
      </c>
      <c r="C4" s="1" t="s">
        <v>163</v>
      </c>
      <c r="D4" s="1" t="s">
        <v>24</v>
      </c>
      <c r="E4" s="1" t="s">
        <v>25</v>
      </c>
      <c r="F4" s="1" t="s">
        <v>168</v>
      </c>
      <c r="G4" s="1" t="s">
        <v>26</v>
      </c>
      <c r="H4" s="1" t="s">
        <v>27</v>
      </c>
      <c r="I4" s="1" t="s">
        <v>28</v>
      </c>
    </row>
    <row r="5" spans="1:13" ht="70">
      <c r="A5" s="7" t="s">
        <v>29</v>
      </c>
      <c r="B5" s="7" t="s">
        <v>158</v>
      </c>
      <c r="C5" s="7" t="s">
        <v>164</v>
      </c>
      <c r="D5" s="7" t="s">
        <v>30</v>
      </c>
      <c r="E5" s="7" t="s">
        <v>31</v>
      </c>
      <c r="F5" s="7" t="s">
        <v>172</v>
      </c>
      <c r="G5" s="7" t="s">
        <v>32</v>
      </c>
      <c r="H5" s="7" t="s">
        <v>173</v>
      </c>
      <c r="I5" s="7" t="s">
        <v>244</v>
      </c>
    </row>
    <row r="6" spans="1:13" ht="56">
      <c r="A6" s="7" t="s">
        <v>34</v>
      </c>
      <c r="B6" s="7" t="s">
        <v>35</v>
      </c>
      <c r="C6" s="7" t="s">
        <v>165</v>
      </c>
      <c r="D6" s="7" t="s">
        <v>36</v>
      </c>
      <c r="E6" s="7" t="s">
        <v>159</v>
      </c>
      <c r="F6" s="7" t="s">
        <v>169</v>
      </c>
      <c r="G6" s="7" t="s">
        <v>37</v>
      </c>
      <c r="H6" s="7" t="s">
        <v>174</v>
      </c>
      <c r="I6" s="7" t="s">
        <v>245</v>
      </c>
    </row>
    <row r="7" spans="1:13" ht="56">
      <c r="A7" s="7" t="s">
        <v>39</v>
      </c>
      <c r="B7" s="7" t="s">
        <v>160</v>
      </c>
      <c r="C7" s="7" t="s">
        <v>166</v>
      </c>
      <c r="D7" s="7" t="s">
        <v>161</v>
      </c>
      <c r="E7" s="7" t="s">
        <v>40</v>
      </c>
      <c r="F7" s="7" t="s">
        <v>170</v>
      </c>
      <c r="G7" s="7" t="s">
        <v>41</v>
      </c>
      <c r="H7" s="7" t="s">
        <v>175</v>
      </c>
      <c r="I7" s="7" t="s">
        <v>246</v>
      </c>
      <c r="M7" s="7"/>
    </row>
    <row r="8" spans="1:13" ht="68" customHeight="1">
      <c r="A8" s="7" t="s">
        <v>42</v>
      </c>
      <c r="B8" s="7" t="s">
        <v>70</v>
      </c>
      <c r="C8" s="7" t="s">
        <v>167</v>
      </c>
      <c r="D8" s="7" t="s">
        <v>43</v>
      </c>
      <c r="E8" s="7" t="s">
        <v>44</v>
      </c>
      <c r="F8" s="7" t="s">
        <v>171</v>
      </c>
      <c r="G8" s="7" t="s">
        <v>45</v>
      </c>
      <c r="H8" s="7" t="s">
        <v>176</v>
      </c>
      <c r="I8" s="7" t="s">
        <v>247</v>
      </c>
    </row>
    <row r="9" spans="1:13" ht="20" customHeight="1">
      <c r="A9" s="17"/>
      <c r="B9" s="17"/>
      <c r="C9" s="17"/>
      <c r="D9" s="17"/>
      <c r="E9" s="17"/>
      <c r="F9" s="17"/>
      <c r="G9" s="17"/>
      <c r="H9" s="17"/>
      <c r="I9" s="17"/>
      <c r="J9" s="17"/>
      <c r="K9" s="17"/>
      <c r="L9" s="17"/>
      <c r="M9" s="17"/>
    </row>
    <row r="10" spans="1:13" ht="20" customHeight="1">
      <c r="A10" s="26"/>
      <c r="B10" s="26"/>
      <c r="C10" s="26"/>
      <c r="D10" s="26"/>
      <c r="E10" s="26"/>
      <c r="F10" s="26"/>
      <c r="G10" s="26"/>
      <c r="H10" s="26"/>
      <c r="I10" s="26"/>
      <c r="J10" s="26"/>
      <c r="K10" s="26"/>
      <c r="L10" s="26"/>
      <c r="M10" s="26"/>
    </row>
    <row r="11" spans="1:13" ht="20" customHeight="1">
      <c r="A11" s="26"/>
      <c r="B11" s="26"/>
      <c r="C11" s="26"/>
      <c r="D11" s="26"/>
      <c r="E11" s="26"/>
      <c r="F11" s="26"/>
      <c r="G11" s="26"/>
      <c r="H11" s="26"/>
      <c r="I11" s="26"/>
      <c r="J11" s="26"/>
      <c r="K11" s="26"/>
      <c r="L11" s="26"/>
      <c r="M11" s="26"/>
    </row>
    <row r="12" spans="1:13" ht="20" customHeight="1">
      <c r="A12" s="26"/>
      <c r="B12" s="26"/>
      <c r="C12" s="26"/>
      <c r="D12" s="26"/>
      <c r="E12" s="26"/>
      <c r="F12" s="26"/>
      <c r="G12" s="26"/>
      <c r="H12" s="26"/>
      <c r="I12" s="26"/>
      <c r="J12" s="26"/>
      <c r="K12" s="26"/>
      <c r="L12" s="26"/>
      <c r="M12" s="26"/>
    </row>
    <row r="13" spans="1:13" ht="20" customHeight="1">
      <c r="A13" s="17"/>
      <c r="B13" s="17"/>
      <c r="C13" s="17"/>
      <c r="D13" s="17"/>
      <c r="E13" s="17"/>
      <c r="F13" s="17"/>
      <c r="G13" s="17"/>
      <c r="H13" s="17"/>
      <c r="I13" s="17"/>
      <c r="J13" s="17"/>
      <c r="K13" s="17"/>
      <c r="L13" s="17"/>
      <c r="M13" s="17"/>
    </row>
    <row r="14" spans="1:13" ht="20" customHeight="1"/>
    <row r="15" spans="1:13" ht="20" customHeight="1"/>
    <row r="16" spans="1:13"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sheetData>
  <mergeCells count="1">
    <mergeCell ref="A1: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1"/>
  <sheetViews>
    <sheetView tabSelected="1" zoomScale="55" zoomScaleNormal="130" workbookViewId="0">
      <selection activeCell="D21" sqref="D21"/>
    </sheetView>
  </sheetViews>
  <sheetFormatPr baseColWidth="10" defaultColWidth="8.6640625" defaultRowHeight="14"/>
  <cols>
    <col min="1" max="1" width="18" customWidth="1"/>
    <col min="2" max="2" width="24" customWidth="1"/>
    <col min="3" max="3" width="34.6640625" bestFit="1" customWidth="1"/>
    <col min="4" max="4" width="91.1640625" bestFit="1" customWidth="1"/>
    <col min="5" max="5" width="29.9140625" bestFit="1" customWidth="1"/>
  </cols>
  <sheetData>
    <row r="1" spans="1:6" ht="20" customHeight="1">
      <c r="A1" s="50" t="s">
        <v>47</v>
      </c>
      <c r="B1" s="50"/>
      <c r="C1" s="50"/>
      <c r="D1" s="50"/>
      <c r="E1" s="50"/>
      <c r="F1" s="50"/>
    </row>
    <row r="2" spans="1:6" ht="20" customHeight="1">
      <c r="A2" s="50"/>
      <c r="B2" s="50"/>
      <c r="C2" s="50"/>
      <c r="D2" s="50"/>
      <c r="E2" s="50"/>
      <c r="F2" s="50"/>
    </row>
    <row r="3" spans="1:6" ht="20" customHeight="1"/>
    <row r="4" spans="1:6" ht="20" customHeight="1">
      <c r="A4" s="1" t="s">
        <v>23</v>
      </c>
      <c r="B4" s="1" t="s">
        <v>48</v>
      </c>
      <c r="C4" s="1" t="s">
        <v>49</v>
      </c>
      <c r="D4" s="1" t="s">
        <v>50</v>
      </c>
      <c r="E4" s="1" t="s">
        <v>51</v>
      </c>
      <c r="F4" s="1" t="s">
        <v>248</v>
      </c>
    </row>
    <row r="5" spans="1:6" ht="34.65" customHeight="1">
      <c r="A5" s="2" t="s">
        <v>29</v>
      </c>
      <c r="B5" t="s">
        <v>200</v>
      </c>
      <c r="C5" s="2" t="s">
        <v>53</v>
      </c>
      <c r="D5" s="2" t="s">
        <v>54</v>
      </c>
      <c r="E5" s="2" t="s">
        <v>55</v>
      </c>
      <c r="F5" t="s">
        <v>184</v>
      </c>
    </row>
    <row r="6" spans="1:6" ht="34.65" customHeight="1">
      <c r="A6" s="2" t="s">
        <v>29</v>
      </c>
      <c r="B6" s="2" t="s">
        <v>56</v>
      </c>
      <c r="C6" s="2" t="s">
        <v>30</v>
      </c>
      <c r="D6" s="2" t="s">
        <v>249</v>
      </c>
      <c r="E6" s="2" t="s">
        <v>57</v>
      </c>
      <c r="F6" t="s">
        <v>185</v>
      </c>
    </row>
    <row r="7" spans="1:6" ht="34.65" customHeight="1">
      <c r="A7" s="2" t="s">
        <v>29</v>
      </c>
      <c r="B7" s="2" t="s">
        <v>25</v>
      </c>
      <c r="C7" s="2" t="s">
        <v>31</v>
      </c>
      <c r="D7" s="2" t="s">
        <v>58</v>
      </c>
      <c r="E7" s="2" t="s">
        <v>59</v>
      </c>
      <c r="F7" t="s">
        <v>186</v>
      </c>
    </row>
    <row r="8" spans="1:6" ht="34.65" customHeight="1">
      <c r="A8" s="2" t="s">
        <v>60</v>
      </c>
      <c r="B8" s="2" t="s">
        <v>52</v>
      </c>
      <c r="C8" s="2" t="s">
        <v>35</v>
      </c>
      <c r="D8" s="2" t="s">
        <v>61</v>
      </c>
      <c r="E8" s="2" t="s">
        <v>62</v>
      </c>
      <c r="F8" t="s">
        <v>187</v>
      </c>
    </row>
    <row r="9" spans="1:6" ht="34.65" customHeight="1">
      <c r="A9" s="2" t="s">
        <v>60</v>
      </c>
      <c r="B9" s="2" t="s">
        <v>56</v>
      </c>
      <c r="C9" s="2" t="s">
        <v>36</v>
      </c>
      <c r="D9" s="2" t="s">
        <v>63</v>
      </c>
      <c r="E9" s="2" t="s">
        <v>57</v>
      </c>
      <c r="F9" t="s">
        <v>188</v>
      </c>
    </row>
    <row r="10" spans="1:6" ht="34.65" customHeight="1">
      <c r="A10" s="2" t="s">
        <v>60</v>
      </c>
      <c r="B10" s="2" t="s">
        <v>25</v>
      </c>
      <c r="C10" s="2" t="s">
        <v>64</v>
      </c>
      <c r="D10" s="2" t="s">
        <v>65</v>
      </c>
      <c r="E10" s="2" t="s">
        <v>66</v>
      </c>
      <c r="F10" t="s">
        <v>189</v>
      </c>
    </row>
    <row r="11" spans="1:6" ht="34.65" customHeight="1">
      <c r="A11" s="2" t="s">
        <v>67</v>
      </c>
      <c r="B11" s="2" t="s">
        <v>52</v>
      </c>
      <c r="C11" t="s">
        <v>160</v>
      </c>
      <c r="D11" t="s">
        <v>197</v>
      </c>
      <c r="E11" t="s">
        <v>198</v>
      </c>
      <c r="F11" t="s">
        <v>190</v>
      </c>
    </row>
    <row r="12" spans="1:6" ht="34.65" customHeight="1">
      <c r="A12" s="2" t="s">
        <v>67</v>
      </c>
      <c r="B12" s="2" t="s">
        <v>25</v>
      </c>
      <c r="C12" s="2" t="s">
        <v>40</v>
      </c>
      <c r="D12" s="2" t="s">
        <v>68</v>
      </c>
      <c r="E12" s="2" t="s">
        <v>66</v>
      </c>
      <c r="F12" t="s">
        <v>192</v>
      </c>
    </row>
    <row r="13" spans="1:6" ht="34.65" customHeight="1">
      <c r="A13" s="2" t="s">
        <v>67</v>
      </c>
      <c r="B13" s="2" t="s">
        <v>56</v>
      </c>
      <c r="C13" s="2" t="s">
        <v>161</v>
      </c>
      <c r="D13" s="2" t="s">
        <v>199</v>
      </c>
      <c r="E13" t="s">
        <v>57</v>
      </c>
      <c r="F13" t="s">
        <v>191</v>
      </c>
    </row>
    <row r="14" spans="1:6" ht="34.65" customHeight="1">
      <c r="A14" s="2" t="s">
        <v>69</v>
      </c>
      <c r="B14" s="2" t="s">
        <v>52</v>
      </c>
      <c r="C14" s="2" t="s">
        <v>70</v>
      </c>
      <c r="D14" t="s">
        <v>201</v>
      </c>
      <c r="E14" s="2" t="s">
        <v>62</v>
      </c>
      <c r="F14" t="s">
        <v>193</v>
      </c>
    </row>
    <row r="15" spans="1:6" ht="34.65" customHeight="1">
      <c r="A15" s="2" t="s">
        <v>69</v>
      </c>
      <c r="B15" s="2" t="s">
        <v>56</v>
      </c>
      <c r="C15" s="2" t="s">
        <v>43</v>
      </c>
      <c r="D15" t="s">
        <v>202</v>
      </c>
      <c r="E15" s="2" t="s">
        <v>57</v>
      </c>
      <c r="F15" t="s">
        <v>194</v>
      </c>
    </row>
    <row r="16" spans="1:6" ht="34.65" customHeight="1">
      <c r="A16" s="2" t="s">
        <v>69</v>
      </c>
      <c r="B16" s="2" t="s">
        <v>25</v>
      </c>
      <c r="C16" s="2" t="s">
        <v>44</v>
      </c>
      <c r="D16" s="2" t="s">
        <v>71</v>
      </c>
      <c r="E16" s="2" t="s">
        <v>66</v>
      </c>
      <c r="F16" t="s">
        <v>195</v>
      </c>
    </row>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sheetData>
  <mergeCells count="1">
    <mergeCell ref="A1:F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0"/>
  <sheetViews>
    <sheetView zoomScale="74" workbookViewId="0">
      <selection activeCell="I9" sqref="I9"/>
    </sheetView>
  </sheetViews>
  <sheetFormatPr baseColWidth="10" defaultColWidth="8.6640625" defaultRowHeight="14"/>
  <cols>
    <col min="1" max="1" width="24" customWidth="1"/>
    <col min="2" max="2" width="48" customWidth="1"/>
    <col min="3" max="3" width="44" customWidth="1"/>
    <col min="4" max="4" width="48" customWidth="1"/>
    <col min="5" max="6" width="30.5" bestFit="1" customWidth="1"/>
    <col min="7" max="7" width="12.33203125" bestFit="1" customWidth="1"/>
    <col min="8" max="8" width="20.33203125" customWidth="1"/>
  </cols>
  <sheetData>
    <row r="1" spans="1:8" ht="20" customHeight="1">
      <c r="A1" s="50" t="s">
        <v>250</v>
      </c>
      <c r="B1" s="50"/>
      <c r="C1" s="50"/>
      <c r="D1" s="50"/>
      <c r="E1" s="50"/>
      <c r="F1" s="50"/>
      <c r="G1" s="50"/>
      <c r="H1" s="50"/>
    </row>
    <row r="2" spans="1:8" ht="20" customHeight="1">
      <c r="A2" s="50"/>
      <c r="B2" s="50"/>
      <c r="C2" s="50"/>
      <c r="D2" s="50"/>
      <c r="E2" s="50"/>
      <c r="F2" s="50"/>
      <c r="G2" s="50"/>
      <c r="H2" s="50"/>
    </row>
    <row r="3" spans="1:8" ht="20" customHeight="1"/>
    <row r="4" spans="1:8" ht="32" customHeight="1">
      <c r="A4" s="1" t="s">
        <v>72</v>
      </c>
      <c r="B4" s="1" t="s">
        <v>73</v>
      </c>
      <c r="C4" s="1" t="s">
        <v>217</v>
      </c>
      <c r="D4" s="1" t="s">
        <v>74</v>
      </c>
      <c r="E4" s="1" t="s">
        <v>220</v>
      </c>
      <c r="F4" s="1" t="s">
        <v>75</v>
      </c>
      <c r="G4" s="1" t="s">
        <v>216</v>
      </c>
      <c r="H4" s="1" t="s">
        <v>28</v>
      </c>
    </row>
    <row r="5" spans="1:8" ht="57.5" customHeight="1">
      <c r="A5" s="2" t="s">
        <v>76</v>
      </c>
      <c r="B5" s="2" t="s">
        <v>77</v>
      </c>
      <c r="C5" s="2" t="s">
        <v>218</v>
      </c>
      <c r="D5" s="2" t="s">
        <v>203</v>
      </c>
      <c r="E5" s="2" t="s">
        <v>219</v>
      </c>
      <c r="F5" s="2" t="s">
        <v>221</v>
      </c>
      <c r="G5" s="2" t="s">
        <v>78</v>
      </c>
      <c r="H5" s="2" t="s">
        <v>179</v>
      </c>
    </row>
    <row r="6" spans="1:8" ht="76" customHeight="1">
      <c r="A6" s="2" t="s">
        <v>56</v>
      </c>
      <c r="B6" s="2" t="s">
        <v>204</v>
      </c>
      <c r="C6" t="s">
        <v>30</v>
      </c>
      <c r="D6" s="2" t="s">
        <v>205</v>
      </c>
      <c r="E6" s="2" t="s">
        <v>222</v>
      </c>
      <c r="F6" s="2" t="s">
        <v>206</v>
      </c>
      <c r="G6" s="2" t="s">
        <v>79</v>
      </c>
      <c r="H6" s="2" t="s">
        <v>251</v>
      </c>
    </row>
    <row r="7" spans="1:8" ht="72.5" customHeight="1">
      <c r="A7" s="2" t="s">
        <v>207</v>
      </c>
      <c r="B7" s="2" t="s">
        <v>208</v>
      </c>
      <c r="C7" s="2" t="s">
        <v>223</v>
      </c>
      <c r="D7" s="2" t="s">
        <v>209</v>
      </c>
      <c r="E7" s="2" t="s">
        <v>226</v>
      </c>
      <c r="F7" s="2" t="s">
        <v>80</v>
      </c>
      <c r="G7" s="2" t="s">
        <v>79</v>
      </c>
      <c r="H7" s="2" t="s">
        <v>252</v>
      </c>
    </row>
    <row r="8" spans="1:8" ht="48" customHeight="1">
      <c r="A8" s="2" t="s">
        <v>81</v>
      </c>
      <c r="B8" s="2" t="s">
        <v>82</v>
      </c>
      <c r="C8" s="2" t="s">
        <v>31</v>
      </c>
      <c r="D8" s="2" t="s">
        <v>210</v>
      </c>
      <c r="E8" s="2" t="s">
        <v>227</v>
      </c>
      <c r="F8" s="2" t="s">
        <v>211</v>
      </c>
      <c r="G8" s="2" t="s">
        <v>79</v>
      </c>
      <c r="H8" s="2" t="s">
        <v>253</v>
      </c>
    </row>
    <row r="9" spans="1:8" ht="94" customHeight="1">
      <c r="A9" s="2" t="s">
        <v>83</v>
      </c>
      <c r="B9" s="2" t="s">
        <v>84</v>
      </c>
      <c r="C9" s="2" t="s">
        <v>224</v>
      </c>
      <c r="D9" s="2" t="s">
        <v>212</v>
      </c>
      <c r="E9" s="2" t="s">
        <v>228</v>
      </c>
      <c r="F9" s="2" t="s">
        <v>213</v>
      </c>
      <c r="G9" s="2" t="s">
        <v>78</v>
      </c>
      <c r="H9" s="2" t="s">
        <v>254</v>
      </c>
    </row>
    <row r="10" spans="1:8" ht="74.5" customHeight="1">
      <c r="A10" s="2" t="s">
        <v>85</v>
      </c>
      <c r="B10" s="2" t="s">
        <v>86</v>
      </c>
      <c r="C10" t="s">
        <v>225</v>
      </c>
      <c r="D10" s="2" t="s">
        <v>214</v>
      </c>
      <c r="E10" s="2" t="s">
        <v>229</v>
      </c>
      <c r="F10" s="2" t="s">
        <v>215</v>
      </c>
      <c r="G10" s="2" t="s">
        <v>78</v>
      </c>
      <c r="H10" s="2" t="s">
        <v>254</v>
      </c>
    </row>
    <row r="11" spans="1:8" ht="20" customHeight="1"/>
    <row r="12" spans="1:8" ht="20" customHeight="1"/>
    <row r="13" spans="1:8" ht="20" customHeight="1"/>
    <row r="14" spans="1:8" ht="20" customHeight="1"/>
    <row r="15" spans="1:8" ht="20" customHeight="1"/>
    <row r="16" spans="1:8"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sheetData>
  <mergeCells count="1">
    <mergeCell ref="A1: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98"/>
  <sheetViews>
    <sheetView zoomScale="62" workbookViewId="0">
      <selection activeCell="G12" sqref="G12"/>
    </sheetView>
  </sheetViews>
  <sheetFormatPr baseColWidth="10" defaultColWidth="8.6640625" defaultRowHeight="14"/>
  <cols>
    <col min="1" max="1" width="24" customWidth="1"/>
    <col min="2" max="2" width="38" customWidth="1"/>
    <col min="3" max="3" width="68" customWidth="1"/>
    <col min="4" max="4" width="62" customWidth="1"/>
    <col min="5" max="5" width="54.5" bestFit="1" customWidth="1"/>
  </cols>
  <sheetData>
    <row r="1" spans="1:5" ht="20" customHeight="1">
      <c r="A1" s="50" t="s">
        <v>87</v>
      </c>
      <c r="B1" s="50"/>
      <c r="C1" s="50"/>
      <c r="D1" s="50"/>
      <c r="E1" s="50"/>
    </row>
    <row r="2" spans="1:5" ht="20" customHeight="1">
      <c r="A2" s="50"/>
      <c r="B2" s="50"/>
      <c r="C2" s="50"/>
      <c r="D2" s="50"/>
      <c r="E2" s="50"/>
    </row>
    <row r="3" spans="1:5" ht="20" customHeight="1"/>
    <row r="4" spans="1:5" ht="20" customHeight="1">
      <c r="A4" s="1" t="s">
        <v>177</v>
      </c>
      <c r="B4" s="1" t="s">
        <v>88</v>
      </c>
      <c r="C4" s="1" t="s">
        <v>28</v>
      </c>
      <c r="D4" s="1" t="s">
        <v>89</v>
      </c>
      <c r="E4" s="1" t="s">
        <v>90</v>
      </c>
    </row>
    <row r="5" spans="1:5" ht="42">
      <c r="A5" t="s">
        <v>178</v>
      </c>
      <c r="B5" t="s">
        <v>230</v>
      </c>
      <c r="C5" s="2" t="s">
        <v>91</v>
      </c>
      <c r="D5" s="2" t="s">
        <v>231</v>
      </c>
      <c r="E5" s="2" t="s">
        <v>92</v>
      </c>
    </row>
    <row r="6" spans="1:5" ht="34.65" customHeight="1">
      <c r="A6" t="s">
        <v>179</v>
      </c>
      <c r="B6" s="2" t="s">
        <v>93</v>
      </c>
      <c r="C6" s="2" t="s">
        <v>94</v>
      </c>
      <c r="D6" s="2" t="s">
        <v>95</v>
      </c>
      <c r="E6" s="2" t="s">
        <v>96</v>
      </c>
    </row>
    <row r="7" spans="1:5" ht="34.65" customHeight="1">
      <c r="A7" t="s">
        <v>180</v>
      </c>
      <c r="B7" s="2" t="s">
        <v>97</v>
      </c>
      <c r="C7" s="2" t="s">
        <v>98</v>
      </c>
      <c r="D7" s="2" t="s">
        <v>99</v>
      </c>
      <c r="E7" s="2" t="s">
        <v>100</v>
      </c>
    </row>
    <row r="8" spans="1:5" ht="42">
      <c r="A8" t="s">
        <v>181</v>
      </c>
      <c r="B8" s="2" t="s">
        <v>101</v>
      </c>
      <c r="C8" s="2" t="s">
        <v>102</v>
      </c>
      <c r="D8" s="2" t="s">
        <v>232</v>
      </c>
      <c r="E8" s="2" t="s">
        <v>103</v>
      </c>
    </row>
    <row r="9" spans="1:5" ht="34.65" customHeight="1">
      <c r="A9" t="s">
        <v>182</v>
      </c>
      <c r="B9" s="2" t="s">
        <v>105</v>
      </c>
      <c r="C9" s="2" t="s">
        <v>106</v>
      </c>
      <c r="D9" s="2" t="s">
        <v>233</v>
      </c>
      <c r="E9" s="2" t="s">
        <v>104</v>
      </c>
    </row>
    <row r="10" spans="1:5" ht="34.65" customHeight="1">
      <c r="A10" t="s">
        <v>183</v>
      </c>
      <c r="B10" s="2" t="s">
        <v>107</v>
      </c>
      <c r="C10" s="2" t="s">
        <v>108</v>
      </c>
      <c r="D10" s="2" t="s">
        <v>109</v>
      </c>
      <c r="E10" s="2" t="s">
        <v>110</v>
      </c>
    </row>
    <row r="11" spans="1:5" ht="34.65" customHeight="1">
      <c r="A11" t="s">
        <v>184</v>
      </c>
      <c r="B11" s="2" t="s">
        <v>29</v>
      </c>
      <c r="C11" s="2" t="s">
        <v>111</v>
      </c>
      <c r="D11" s="2" t="s">
        <v>112</v>
      </c>
      <c r="E11" s="2" t="s">
        <v>33</v>
      </c>
    </row>
    <row r="12" spans="1:5" ht="34.65" customHeight="1">
      <c r="A12" t="s">
        <v>185</v>
      </c>
      <c r="B12" s="2" t="s">
        <v>29</v>
      </c>
      <c r="C12" s="2" t="s">
        <v>113</v>
      </c>
      <c r="D12" s="2" t="s">
        <v>114</v>
      </c>
      <c r="E12" s="2" t="s">
        <v>115</v>
      </c>
    </row>
    <row r="13" spans="1:5" ht="34.65" customHeight="1">
      <c r="A13" t="s">
        <v>186</v>
      </c>
      <c r="B13" s="2" t="s">
        <v>29</v>
      </c>
      <c r="C13" s="2" t="s">
        <v>116</v>
      </c>
      <c r="D13" s="2" t="s">
        <v>117</v>
      </c>
      <c r="E13" s="2" t="s">
        <v>118</v>
      </c>
    </row>
    <row r="14" spans="1:5" ht="34.65" customHeight="1">
      <c r="A14" t="s">
        <v>187</v>
      </c>
      <c r="B14" s="2" t="s">
        <v>60</v>
      </c>
      <c r="C14" s="2" t="s">
        <v>119</v>
      </c>
      <c r="D14" s="2" t="s">
        <v>120</v>
      </c>
      <c r="E14" s="2" t="s">
        <v>38</v>
      </c>
    </row>
    <row r="15" spans="1:5" ht="34.65" customHeight="1">
      <c r="A15" t="s">
        <v>188</v>
      </c>
      <c r="B15" s="2" t="s">
        <v>60</v>
      </c>
      <c r="C15" s="2" t="s">
        <v>36</v>
      </c>
      <c r="D15" s="2" t="s">
        <v>121</v>
      </c>
      <c r="E15" s="2" t="s">
        <v>122</v>
      </c>
    </row>
    <row r="16" spans="1:5" ht="34.65" customHeight="1">
      <c r="A16" t="s">
        <v>189</v>
      </c>
      <c r="B16" s="2" t="s">
        <v>60</v>
      </c>
      <c r="C16" s="2" t="s">
        <v>64</v>
      </c>
      <c r="D16" s="2" t="s">
        <v>123</v>
      </c>
      <c r="E16" s="2" t="s">
        <v>124</v>
      </c>
    </row>
    <row r="17" spans="1:5" ht="28">
      <c r="A17" t="s">
        <v>190</v>
      </c>
      <c r="B17" s="2" t="s">
        <v>67</v>
      </c>
      <c r="C17" s="2" t="s">
        <v>160</v>
      </c>
      <c r="D17" s="2" t="s">
        <v>234</v>
      </c>
      <c r="E17" s="30" t="s">
        <v>238</v>
      </c>
    </row>
    <row r="18" spans="1:5" ht="56">
      <c r="A18" t="s">
        <v>191</v>
      </c>
      <c r="B18" s="2" t="s">
        <v>67</v>
      </c>
      <c r="C18" s="2" t="s">
        <v>161</v>
      </c>
      <c r="D18" s="2" t="s">
        <v>235</v>
      </c>
      <c r="E18" s="29" t="s">
        <v>237</v>
      </c>
    </row>
    <row r="19" spans="1:5" ht="28">
      <c r="A19" t="s">
        <v>192</v>
      </c>
      <c r="B19" s="2" t="s">
        <v>67</v>
      </c>
      <c r="C19" s="2" t="s">
        <v>125</v>
      </c>
      <c r="D19" s="2" t="s">
        <v>126</v>
      </c>
      <c r="E19" s="2" t="s">
        <v>127</v>
      </c>
    </row>
    <row r="20" spans="1:5" ht="34.65" customHeight="1">
      <c r="A20" t="s">
        <v>193</v>
      </c>
      <c r="B20" s="2" t="s">
        <v>69</v>
      </c>
      <c r="C20" s="2" t="s">
        <v>128</v>
      </c>
      <c r="D20" s="2" t="s">
        <v>129</v>
      </c>
      <c r="E20" s="2" t="s">
        <v>46</v>
      </c>
    </row>
    <row r="21" spans="1:5" ht="34.65" customHeight="1">
      <c r="A21" t="s">
        <v>194</v>
      </c>
      <c r="B21" s="2" t="s">
        <v>69</v>
      </c>
      <c r="C21" s="2" t="s">
        <v>130</v>
      </c>
      <c r="D21" s="2" t="s">
        <v>131</v>
      </c>
      <c r="E21" s="2" t="s">
        <v>132</v>
      </c>
    </row>
    <row r="22" spans="1:5" ht="28">
      <c r="A22" t="s">
        <v>195</v>
      </c>
      <c r="B22" s="2" t="s">
        <v>69</v>
      </c>
      <c r="C22" s="2" t="s">
        <v>133</v>
      </c>
      <c r="D22" s="2" t="s">
        <v>134</v>
      </c>
      <c r="E22" s="2" t="s">
        <v>135</v>
      </c>
    </row>
    <row r="23" spans="1:5" ht="42">
      <c r="A23" t="s">
        <v>196</v>
      </c>
      <c r="B23" s="2" t="s">
        <v>136</v>
      </c>
      <c r="C23" s="2" t="s">
        <v>137</v>
      </c>
      <c r="D23" s="2" t="s">
        <v>236</v>
      </c>
      <c r="E23" s="2" t="s">
        <v>138</v>
      </c>
    </row>
    <row r="24" spans="1:5" ht="20" customHeight="1"/>
    <row r="25" spans="1:5" ht="20" customHeight="1"/>
    <row r="26" spans="1:5" ht="20" customHeight="1"/>
    <row r="27" spans="1:5" ht="20" customHeight="1"/>
    <row r="28" spans="1:5" ht="20" customHeight="1"/>
    <row r="29" spans="1:5" ht="20" customHeight="1"/>
    <row r="30" spans="1:5" ht="20" customHeight="1"/>
    <row r="31" spans="1:5" ht="20" customHeight="1"/>
    <row r="32" spans="1:5"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sheetData>
  <mergeCells count="1">
    <mergeCell ref="A1:E2"/>
  </mergeCells>
  <phoneticPr fontId="11" type="noConversion"/>
  <hyperlinks>
    <hyperlink ref="E17" r:id="rId1" xr:uid="{9E4999AD-3F0E-4233-ACF0-B2EAEBDF4046}"/>
  </hyperlinks>
  <pageMargins left="0.7" right="0.7" top="0.75" bottom="0.75" header="0.3" footer="0.3"/>
  <pageSetup paperSize="9"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Dashboard</vt:lpstr>
      <vt:lpstr>Broader_Market_Context</vt:lpstr>
      <vt:lpstr>Germany_Market</vt:lpstr>
      <vt:lpstr>Competitor_Benchmark</vt:lpstr>
      <vt:lpstr>Product_Examples</vt:lpstr>
      <vt:lpstr>Trends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kovru</dc:creator>
  <cp:lastModifiedBy>Ekaterina Kovru</cp:lastModifiedBy>
  <dcterms:created xsi:type="dcterms:W3CDTF">2026-09-22T23:29:27Z</dcterms:created>
  <dcterms:modified xsi:type="dcterms:W3CDTF">2026-09-23T18:54:23Z</dcterms:modified>
</cp:coreProperties>
</file>